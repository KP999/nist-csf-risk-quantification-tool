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17"/>
  <fileSharing readOnlyRecommended="1"/>
  <workbookPr/>
  <mc:AlternateContent xmlns:mc="http://schemas.openxmlformats.org/markup-compatibility/2006">
    <mc:Choice Requires="x15">
      <x15ac:absPath xmlns:x15ac="http://schemas.microsoft.com/office/spreadsheetml/2010/11/ac" url="https://livealbany-my.sharepoint.com/personal/kjporter_albany_edu/Documents/Attachments/"/>
    </mc:Choice>
  </mc:AlternateContent>
  <xr:revisionPtr revIDLastSave="0" documentId="8_{0A3DB0BA-4CF7-4F73-8475-E686184916C5}" xr6:coauthVersionLast="47" xr6:coauthVersionMax="47" xr10:uidLastSave="{00000000-0000-0000-0000-000000000000}"/>
  <bookViews>
    <workbookView xWindow="-120" yWindow="-120" windowWidth="29040" windowHeight="15720" firstSheet="2" activeTab="2" xr2:uid="{9480E96A-4D1D-4225-8420-6467EFDEF0E8}"/>
  </bookViews>
  <sheets>
    <sheet name="Introduction Screen" sheetId="2" r:id="rId1"/>
    <sheet name="Tutorial Screen" sheetId="3" r:id="rId2"/>
    <sheet name="Risk Assesment Tool" sheetId="1"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43" i="1" l="1"/>
  <c r="M43" i="1"/>
  <c r="N43" i="1"/>
  <c r="O43" i="1"/>
  <c r="L44" i="1"/>
  <c r="M44" i="1"/>
  <c r="N44" i="1"/>
  <c r="O44" i="1"/>
  <c r="L45" i="1"/>
  <c r="M45" i="1"/>
  <c r="N45" i="1"/>
  <c r="O45" i="1"/>
  <c r="L46" i="1"/>
  <c r="M46" i="1"/>
  <c r="N46" i="1"/>
  <c r="O46" i="1"/>
  <c r="F8" i="1" a="1"/>
  <c r="F8" i="1"/>
  <c r="F7" i="1" a="1"/>
  <c r="F7" i="1"/>
  <c r="F6" i="1" a="1"/>
  <c r="F6" i="1"/>
  <c r="F5" i="1" a="1"/>
  <c r="F5" i="1"/>
  <c r="F4" i="1" a="1"/>
  <c r="F4" i="1"/>
  <c r="F3" i="1" a="1"/>
  <c r="F3" i="1"/>
  <c r="F9" i="1" l="1"/>
  <c r="X3" i="1"/>
  <c r="U3" i="1"/>
  <c r="O3" i="1"/>
  <c r="R3" i="1"/>
  <c r="L3" i="1"/>
  <c r="I3" i="1"/>
  <c r="O4" i="1"/>
  <c r="R4" i="1"/>
  <c r="U4" i="1"/>
  <c r="X4" i="1"/>
  <c r="L4" i="1"/>
  <c r="I4" i="1"/>
  <c r="O5" i="1"/>
  <c r="R5" i="1"/>
  <c r="U5" i="1"/>
  <c r="X5" i="1"/>
  <c r="L5" i="1"/>
  <c r="I5" i="1"/>
  <c r="O6" i="1"/>
  <c r="R6" i="1"/>
  <c r="U6" i="1"/>
  <c r="X6" i="1"/>
  <c r="L6" i="1"/>
  <c r="I6" i="1"/>
  <c r="O8" i="1"/>
  <c r="R8" i="1"/>
  <c r="U8" i="1"/>
  <c r="X8" i="1"/>
  <c r="L8" i="1"/>
  <c r="I8" i="1"/>
  <c r="O7" i="1"/>
  <c r="O9" i="1" s="1"/>
  <c r="R7" i="1"/>
  <c r="R9" i="1" s="1"/>
  <c r="U7" i="1"/>
  <c r="U9" i="1" s="1"/>
  <c r="X7" i="1"/>
  <c r="L7" i="1"/>
  <c r="L9" i="1" s="1"/>
  <c r="I7" i="1"/>
  <c r="I9" i="1" s="1"/>
  <c r="X9" i="1" l="1"/>
  <c r="Y9"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<sst xmlns="http://schemas.openxmlformats.org/spreadsheetml/2006/main" count="82" uniqueCount="55">
  <si>
    <t>Cybersecurity Risk Dashboard</t>
  </si>
  <si>
    <t xml:space="preserve">The Digital Defenders Cyber Risk Assessment Tool will allow you to input your risks, their likelihood and severity as they pertain to you, the controls youd like to put in place to mitigate them, and the amount that the control reduces the risk in a percentage to get back the initial risk value, the residual risk value, and finally a chart that displays all the values in a more visual sense so you can better picture which controls are more worth it for your company. </t>
  </si>
  <si>
    <t>Users can click the buttons on this dashboard to navigate to the tutorial and the risk assessment tool.</t>
  </si>
  <si>
    <t>Risk Assessment Tool Tutorial</t>
  </si>
  <si>
    <t>This tool allows you to input your risks and controls and auto calculates the inherent risk and residual risk for you.</t>
  </si>
  <si>
    <t>Risks</t>
  </si>
  <si>
    <t>Definition of risks</t>
  </si>
  <si>
    <t xml:space="preserve">Value at risks </t>
  </si>
  <si>
    <t>Likelihood</t>
  </si>
  <si>
    <t>Severity</t>
  </si>
  <si>
    <t>Inherent Risk Value</t>
  </si>
  <si>
    <t>Data Encryption</t>
  </si>
  <si>
    <t>Cybersecurity Training for Employees</t>
  </si>
  <si>
    <t>Access Control List</t>
  </si>
  <si>
    <t>Compliance Team &amp; Framework</t>
  </si>
  <si>
    <t>Web Application Firewall</t>
  </si>
  <si>
    <t>Third-party Security Audits</t>
  </si>
  <si>
    <t>Control Effectiveness</t>
  </si>
  <si>
    <t>Reduction of Likelihhood</t>
  </si>
  <si>
    <t>Reduction of Severity</t>
  </si>
  <si>
    <t>Residual Risk</t>
  </si>
  <si>
    <t>Reduction of Likelihood</t>
  </si>
  <si>
    <t>Data Breach</t>
  </si>
  <si>
    <t>Unauthorized access exposing confidential financial or customer data</t>
  </si>
  <si>
    <t xml:space="preserve">Confidentiality </t>
  </si>
  <si>
    <t>MEDIUM</t>
  </si>
  <si>
    <t>HIGH</t>
  </si>
  <si>
    <t>Phishing</t>
  </si>
  <si>
    <t>Deceptive emails or messages tricking employees into revealing sensitive information</t>
  </si>
  <si>
    <t>Confidentiality/ Integrity</t>
  </si>
  <si>
    <t>Insider Threat</t>
  </si>
  <si>
    <t>Malicious or negligent actions by employees or associates that compromise security</t>
  </si>
  <si>
    <t>Integrity</t>
  </si>
  <si>
    <t>LOW</t>
  </si>
  <si>
    <t>Compliance Violations</t>
  </si>
  <si>
    <t>Failure to meet financial regulations, leading to legal and financial penalties</t>
  </si>
  <si>
    <t>Web Application Attacks</t>
  </si>
  <si>
    <t>Exploits targeting web apps (e.g. SQL injection, XSS) to steal data or gain access</t>
  </si>
  <si>
    <t>Confidentality</t>
  </si>
  <si>
    <t>Third Party Cloud Risks</t>
  </si>
  <si>
    <t>Security, operational, financial, and compliance risks associated with the reliance of third-party cloud computing vendors, suppliers and contractors</t>
  </si>
  <si>
    <t>Confidentiality, Integrity, Availability</t>
  </si>
  <si>
    <t>Risk Reduction</t>
  </si>
  <si>
    <t>Qualitative Risk Scale</t>
  </si>
  <si>
    <t>None</t>
  </si>
  <si>
    <t>Low</t>
  </si>
  <si>
    <t xml:space="preserve">Medium </t>
  </si>
  <si>
    <t>High</t>
  </si>
  <si>
    <t xml:space="preserve">    Impact:The severity of consequences or effects if the risk event happens.
</t>
  </si>
  <si>
    <t>Likelihood:The probability or chance that a risk event will occur.</t>
  </si>
  <si>
    <t>None: 0</t>
  </si>
  <si>
    <t>Low:3</t>
  </si>
  <si>
    <t>Medium:6</t>
  </si>
  <si>
    <t>High:9</t>
  </si>
  <si>
    <t>None:0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</si>
</sst>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Aptos Narrow"/>
      <family val="2"/>
      <scheme val="minor"/>
    </font>
    <font>
      <b/>
      <sz val="11"/>
      <color rgb="FF000000"/>
      <name val="Aptos Narrow"/>
      <scheme val="minor"/>
    </font>
    <font>
      <b/>
      <sz val="11"/>
      <color theme="1"/>
      <name val="Aptos Narrow"/>
      <family val="2"/>
      <scheme val="minor"/>
    </font>
    <font>
      <sz val="11"/>
      <color rgb="FF000000"/>
      <name val="Aptos Narrow"/>
      <scheme val="minor"/>
    </font>
    <font>
      <b/>
      <sz val="11"/>
      <color rgb="FF000000"/>
      <name val="Aptos Narrow"/>
      <family val="2"/>
      <scheme val="minor"/>
    </font>
    <font>
      <sz val="11"/>
      <color rgb="FF000000"/>
      <name val="Aptos Narrow"/>
      <family val="2"/>
      <scheme val="minor"/>
    </font>
    <font>
      <sz val="10"/>
      <color theme="1"/>
      <name val="Aptos Narrow"/>
      <family val="2"/>
      <scheme val="minor"/>
    </font>
    <font>
      <sz val="12"/>
      <color theme="1"/>
      <name val="Aptos Narrow"/>
      <family val="2"/>
      <scheme val="minor"/>
    </font>
  </fonts>
  <fills count="8">
    <fill>
      <patternFill patternType="none"/>
    </fill>
    <fill>
      <patternFill patternType="gray125"/>
    </fill>
    <fill>
      <patternFill patternType="solid">
        <fgColor rgb="FFFFC000"/>
        <bgColor indexed="64"/>
      </patternFill>
    </fill>
    <fill>
      <patternFill patternType="solid">
        <fgColor rgb="FFFF0000"/>
        <bgColor indexed="64"/>
      </patternFill>
    </fill>
    <fill>
      <patternFill patternType="solid">
        <fgColor rgb="FFFFFF00"/>
        <bgColor indexed="64"/>
      </patternFill>
    </fill>
    <fill>
      <patternFill patternType="solid">
        <fgColor theme="9" tint="0.59999389629810485"/>
        <bgColor indexed="64"/>
      </patternFill>
    </fill>
    <fill>
      <patternFill patternType="solid">
        <fgColor rgb="FF00B050"/>
        <bgColor indexed="64"/>
      </patternFill>
    </fill>
    <fill>
      <patternFill patternType="solid">
        <fgColor rgb="FF92D050"/>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45">
    <xf numFmtId="0" fontId="0" fillId="0" borderId="0" xfId="0"/>
    <xf numFmtId="0" fontId="1" fillId="0" borderId="0" xfId="0" applyFont="1"/>
    <xf numFmtId="0" fontId="2" fillId="0" borderId="0" xfId="0" applyFont="1"/>
    <xf numFmtId="0" fontId="3" fillId="0" borderId="0" xfId="0" applyFont="1"/>
    <xf numFmtId="0" fontId="2" fillId="0" borderId="0" xfId="0" applyFont="1" applyAlignment="1">
      <alignment wrapText="1"/>
    </xf>
    <xf numFmtId="9" fontId="0" fillId="0" borderId="0" xfId="0" applyNumberFormat="1"/>
    <xf numFmtId="0" fontId="0" fillId="2" borderId="0" xfId="0" applyFill="1"/>
    <xf numFmtId="0" fontId="2" fillId="2" borderId="0" xfId="0" applyFont="1" applyFill="1"/>
    <xf numFmtId="0" fontId="0" fillId="3" borderId="0" xfId="0" applyFill="1"/>
    <xf numFmtId="0" fontId="2" fillId="3" borderId="0" xfId="0" applyFont="1" applyFill="1"/>
    <xf numFmtId="0" fontId="0" fillId="4" borderId="0" xfId="0" applyFill="1"/>
    <xf numFmtId="0" fontId="2" fillId="4" borderId="0" xfId="0" applyFont="1" applyFill="1"/>
    <xf numFmtId="0" fontId="1" fillId="5" borderId="0" xfId="0" applyFont="1" applyFill="1"/>
    <xf numFmtId="0" fontId="2" fillId="5" borderId="0" xfId="0" applyFont="1" applyFill="1"/>
    <xf numFmtId="0" fontId="0" fillId="5" borderId="0" xfId="0" applyFill="1"/>
    <xf numFmtId="0" fontId="4" fillId="5" borderId="0" xfId="0" applyFont="1" applyFill="1"/>
    <xf numFmtId="0" fontId="5" fillId="5" borderId="0" xfId="0" applyFont="1" applyFill="1"/>
    <xf numFmtId="9" fontId="5" fillId="5" borderId="0" xfId="0" applyNumberFormat="1" applyFont="1" applyFill="1"/>
    <xf numFmtId="0" fontId="1" fillId="5" borderId="0" xfId="0" applyFont="1" applyFill="1" applyAlignment="1">
      <alignment horizontal="center"/>
    </xf>
    <xf numFmtId="0" fontId="0" fillId="5" borderId="0" xfId="0" applyFill="1" applyAlignment="1">
      <alignment horizontal="center"/>
    </xf>
    <xf numFmtId="0" fontId="0" fillId="0" borderId="0" xfId="0" applyAlignment="1">
      <alignment wrapText="1"/>
    </xf>
    <xf numFmtId="0" fontId="0" fillId="6" borderId="0" xfId="0" applyFill="1"/>
    <xf numFmtId="0" fontId="2" fillId="6" borderId="0" xfId="0" applyFont="1" applyFill="1"/>
    <xf numFmtId="0" fontId="5" fillId="0" borderId="0" xfId="0" applyFont="1"/>
    <xf numFmtId="2" fontId="4" fillId="5" borderId="0" xfId="0" applyNumberFormat="1" applyFont="1" applyFill="1"/>
    <xf numFmtId="0" fontId="0" fillId="0" borderId="0" xfId="0" applyAlignment="1">
      <alignment horizontal="left" vertical="top"/>
    </xf>
    <xf numFmtId="0" fontId="6" fillId="0" borderId="0" xfId="0" applyFont="1" applyAlignment="1">
      <alignment textRotation="90"/>
    </xf>
    <xf numFmtId="0" fontId="7" fillId="0" borderId="1" xfId="0" applyFont="1" applyBorder="1"/>
    <xf numFmtId="0" fontId="7" fillId="7" borderId="1" xfId="0" applyFont="1" applyFill="1" applyBorder="1"/>
    <xf numFmtId="0" fontId="7" fillId="4" borderId="1" xfId="0" applyFont="1" applyFill="1" applyBorder="1"/>
    <xf numFmtId="0" fontId="7" fillId="2" borderId="1" xfId="0" applyFont="1" applyFill="1" applyBorder="1"/>
    <xf numFmtId="0" fontId="7" fillId="3" borderId="1" xfId="0" applyFont="1" applyFill="1" applyBorder="1"/>
    <xf numFmtId="0" fontId="7" fillId="0" borderId="0" xfId="0" applyFont="1"/>
    <xf numFmtId="0" fontId="7" fillId="0" borderId="1" xfId="0" applyFont="1" applyBorder="1" applyAlignment="1">
      <alignment horizontal="center" wrapText="1"/>
    </xf>
    <xf numFmtId="0" fontId="7" fillId="0" borderId="1" xfId="0" applyFont="1" applyBorder="1" applyAlignment="1">
      <alignment wrapText="1"/>
    </xf>
    <xf numFmtId="0" fontId="1" fillId="5" borderId="0" xfId="0" applyFont="1" applyFill="1" applyAlignment="1">
      <alignment horizontal="center"/>
    </xf>
    <xf numFmtId="0" fontId="1" fillId="5" borderId="0" xfId="0" applyFont="1" applyFill="1" applyAlignment="1">
      <alignment horizontal="center" vertical="center"/>
    </xf>
    <xf numFmtId="0" fontId="2" fillId="5" borderId="0" xfId="0" applyFont="1" applyFill="1" applyAlignment="1">
      <alignment horizontal="center" vertical="center"/>
    </xf>
    <xf numFmtId="2" fontId="4" fillId="5" borderId="0" xfId="0" applyNumberFormat="1" applyFont="1" applyFill="1" applyAlignment="1">
      <alignment horizontal="center" vertical="center" wrapText="1"/>
    </xf>
    <xf numFmtId="0" fontId="0" fillId="5" borderId="0" xfId="0" applyFill="1" applyAlignment="1">
      <alignment horizontal="center" vertical="center"/>
    </xf>
    <xf numFmtId="0" fontId="1" fillId="0" borderId="0" xfId="0" applyFont="1" applyAlignment="1">
      <alignment horizontal="center"/>
    </xf>
    <xf numFmtId="0" fontId="0" fillId="0" borderId="0" xfId="0" applyAlignment="1">
      <alignment horizontal="center"/>
    </xf>
    <xf numFmtId="0" fontId="0" fillId="0" borderId="0" xfId="0" applyAlignment="1">
      <alignment horizontal="left" vertical="top" wrapText="1"/>
    </xf>
    <xf numFmtId="0" fontId="2" fillId="0" borderId="0" xfId="0" applyFont="1" applyAlignment="1">
      <alignment horizontal="center"/>
    </xf>
    <xf numFmtId="0" fontId="7" fillId="0" borderId="1" xfId="0" applyFont="1" applyBorder="1" applyAlignment="1"/>
  </cellXfs>
  <cellStyles count="1">
    <cellStyle name="Normal" xfId="0" builtinId="0"/>
  </cellStyles>
  <dxfs count="4">
    <dxf>
      <font>
        <color theme="1"/>
      </font>
      <fill>
        <patternFill patternType="solid">
          <bgColor rgb="FF00B050"/>
        </patternFill>
      </fill>
    </dxf>
    <dxf>
      <font>
        <color theme="1"/>
      </font>
      <fill>
        <patternFill patternType="solid">
          <bgColor rgb="FFFFFF00"/>
        </patternFill>
      </fill>
    </dxf>
    <dxf>
      <font>
        <color theme="1"/>
      </font>
      <fill>
        <patternFill patternType="solid">
          <bgColor rgb="FFFFC000"/>
        </patternFill>
      </fill>
    </dxf>
    <dxf>
      <font>
        <color theme="1"/>
      </font>
      <fill>
        <patternFill patternType="solid">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openxmlformats.org/officeDocument/2006/relationships/customXml" Target="../customXml/item3.xml"/><Relationship Id="rId5" Type="http://schemas.openxmlformats.org/officeDocument/2006/relationships/styles" Target="styles.xml"/><Relationship Id="rId10" Type="http://schemas.openxmlformats.org/officeDocument/2006/relationships/customXml" Target="../customXml/item2.xml"/><Relationship Id="rId4" Type="http://schemas.openxmlformats.org/officeDocument/2006/relationships/theme" Target="theme/theme1.xml"/><Relationship Id="rId9"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Inherent Risk vs. Residual Risk</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clustered"/>
        <c:varyColors val="0"/>
        <c:ser>
          <c:idx val="0"/>
          <c:order val="0"/>
          <c:tx>
            <c:strRef>
              <c:f>'Risk Assesment Tool'!$F$1:$F$2</c:f>
              <c:strCache>
                <c:ptCount val="2"/>
                <c:pt idx="0">
                  <c:v>Inherent Risk Value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delete val="1"/>
          </c:dLbls>
          <c:cat>
            <c:strLit>
              <c:ptCount val="6"/>
              <c:pt idx="0">
                <c:v>Data Breach</c:v>
              </c:pt>
              <c:pt idx="1">
                <c:v>Phishing</c:v>
              </c:pt>
              <c:pt idx="2">
                <c:v>Insider Threat</c:v>
              </c:pt>
              <c:pt idx="3">
                <c:v>Compliance Violations</c:v>
              </c:pt>
              <c:pt idx="4">
                <c:v>Web Application Attacks</c:v>
              </c:pt>
              <c:pt idx="5">
                <c:v>Third-party Cloud Risks</c:v>
              </c:pt>
            </c:strLit>
          </c:cat>
          <c:val>
            <c:numRef>
              <c:f>'Risk Assesment Tool'!$F$3:$F$8</c:f>
              <c:numCache>
                <c:formatCode>General</c:formatCode>
                <c:ptCount val="6"/>
                <c:pt idx="0">
                  <c:v>54</c:v>
                </c:pt>
                <c:pt idx="1">
                  <c:v>54</c:v>
                </c:pt>
                <c:pt idx="2">
                  <c:v>18</c:v>
                </c:pt>
                <c:pt idx="3">
                  <c:v>18</c:v>
                </c:pt>
                <c:pt idx="4">
                  <c:v>9</c:v>
                </c:pt>
                <c:pt idx="5">
                  <c:v>18</c:v>
                </c:pt>
              </c:numCache>
            </c:numRef>
          </c:val>
          <c:extLst>
            <c:ext xmlns:c16="http://schemas.microsoft.com/office/drawing/2014/chart" uri="{C3380CC4-5D6E-409C-BE32-E72D297353CC}">
              <c16:uniqueId val="{00000001-DA81-4007-8AF2-2E834E0C8469}"/>
            </c:ext>
          </c:extLst>
        </c:ser>
        <c:ser>
          <c:idx val="1"/>
          <c:order val="1"/>
          <c:tx>
            <c:v>Data Encryption</c:v>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delete val="1"/>
          </c:dLbls>
          <c:cat>
            <c:strLit>
              <c:ptCount val="6"/>
              <c:pt idx="0">
                <c:v>Data Breach</c:v>
              </c:pt>
              <c:pt idx="1">
                <c:v>Phishing</c:v>
              </c:pt>
              <c:pt idx="2">
                <c:v>Insider Threat</c:v>
              </c:pt>
              <c:pt idx="3">
                <c:v>Compliance Violations</c:v>
              </c:pt>
              <c:pt idx="4">
                <c:v>Web Application Attacks</c:v>
              </c:pt>
              <c:pt idx="5">
                <c:v>Third-party Cloud Risks</c:v>
              </c:pt>
            </c:strLit>
          </c:cat>
          <c:val>
            <c:numRef>
              <c:f>'Risk Assesment Tool'!$I$3:$I$8</c:f>
              <c:numCache>
                <c:formatCode>General</c:formatCode>
                <c:ptCount val="6"/>
                <c:pt idx="0">
                  <c:v>12.96</c:v>
                </c:pt>
                <c:pt idx="1">
                  <c:v>38.880000000000003</c:v>
                </c:pt>
                <c:pt idx="2">
                  <c:v>8.19</c:v>
                </c:pt>
                <c:pt idx="3">
                  <c:v>3.6</c:v>
                </c:pt>
                <c:pt idx="4">
                  <c:v>3.78</c:v>
                </c:pt>
                <c:pt idx="5">
                  <c:v>4.05</c:v>
                </c:pt>
              </c:numCache>
            </c:numRef>
          </c:val>
          <c:extLst>
            <c:ext xmlns:c16="http://schemas.microsoft.com/office/drawing/2014/chart" uri="{C3380CC4-5D6E-409C-BE32-E72D297353CC}">
              <c16:uniqueId val="{00000002-DA81-4007-8AF2-2E834E0C8469}"/>
            </c:ext>
          </c:extLst>
        </c:ser>
        <c:ser>
          <c:idx val="2"/>
          <c:order val="2"/>
          <c:tx>
            <c:v>Cybersecurity Training for Employees</c:v>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delete val="1"/>
          </c:dLbls>
          <c:cat>
            <c:strLit>
              <c:ptCount val="6"/>
              <c:pt idx="0">
                <c:v>Data Breach</c:v>
              </c:pt>
              <c:pt idx="1">
                <c:v>Phishing</c:v>
              </c:pt>
              <c:pt idx="2">
                <c:v>Insider Threat</c:v>
              </c:pt>
              <c:pt idx="3">
                <c:v>Compliance Violations</c:v>
              </c:pt>
              <c:pt idx="4">
                <c:v>Web Application Attacks</c:v>
              </c:pt>
              <c:pt idx="5">
                <c:v>Third-party Cloud Risks</c:v>
              </c:pt>
            </c:strLit>
          </c:cat>
          <c:val>
            <c:numRef>
              <c:f>'Risk Assesment Tool'!$L$3:$L$8</c:f>
              <c:numCache>
                <c:formatCode>General</c:formatCode>
                <c:ptCount val="6"/>
                <c:pt idx="0">
                  <c:v>12.96</c:v>
                </c:pt>
                <c:pt idx="1">
                  <c:v>6.75</c:v>
                </c:pt>
                <c:pt idx="2">
                  <c:v>6.3</c:v>
                </c:pt>
                <c:pt idx="3">
                  <c:v>6.3</c:v>
                </c:pt>
                <c:pt idx="4">
                  <c:v>5.04</c:v>
                </c:pt>
                <c:pt idx="5">
                  <c:v>8.1</c:v>
                </c:pt>
              </c:numCache>
            </c:numRef>
          </c:val>
          <c:extLst>
            <c:ext xmlns:c16="http://schemas.microsoft.com/office/drawing/2014/chart" uri="{C3380CC4-5D6E-409C-BE32-E72D297353CC}">
              <c16:uniqueId val="{00000003-DA81-4007-8AF2-2E834E0C8469}"/>
            </c:ext>
          </c:extLst>
        </c:ser>
        <c:ser>
          <c:idx val="3"/>
          <c:order val="3"/>
          <c:tx>
            <c:v>Access Control List</c:v>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delete val="1"/>
          </c:dLbls>
          <c:cat>
            <c:strLit>
              <c:ptCount val="6"/>
              <c:pt idx="0">
                <c:v>Data Breach</c:v>
              </c:pt>
              <c:pt idx="1">
                <c:v>Phishing</c:v>
              </c:pt>
              <c:pt idx="2">
                <c:v>Insider Threat</c:v>
              </c:pt>
              <c:pt idx="3">
                <c:v>Compliance Violations</c:v>
              </c:pt>
              <c:pt idx="4">
                <c:v>Web Application Attacks</c:v>
              </c:pt>
              <c:pt idx="5">
                <c:v>Third-party Cloud Risks</c:v>
              </c:pt>
            </c:strLit>
          </c:cat>
          <c:val>
            <c:numRef>
              <c:f>'Risk Assesment Tool'!$O$3:$O$8</c:f>
              <c:numCache>
                <c:formatCode>General</c:formatCode>
                <c:ptCount val="6"/>
                <c:pt idx="0">
                  <c:v>8.1000000000000014</c:v>
                </c:pt>
                <c:pt idx="1">
                  <c:v>30.24</c:v>
                </c:pt>
                <c:pt idx="2">
                  <c:v>1.4399999999999997</c:v>
                </c:pt>
                <c:pt idx="3">
                  <c:v>7.02</c:v>
                </c:pt>
                <c:pt idx="4">
                  <c:v>2.6999999999999997</c:v>
                </c:pt>
                <c:pt idx="5">
                  <c:v>3.15</c:v>
                </c:pt>
              </c:numCache>
            </c:numRef>
          </c:val>
          <c:extLst>
            <c:ext xmlns:c16="http://schemas.microsoft.com/office/drawing/2014/chart" uri="{C3380CC4-5D6E-409C-BE32-E72D297353CC}">
              <c16:uniqueId val="{00000004-DA81-4007-8AF2-2E834E0C8469}"/>
            </c:ext>
          </c:extLst>
        </c:ser>
        <c:ser>
          <c:idx val="4"/>
          <c:order val="4"/>
          <c:tx>
            <c:v>Compliance Team &amp; Framework</c:v>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delete val="1"/>
          </c:dLbls>
          <c:cat>
            <c:strLit>
              <c:ptCount val="6"/>
              <c:pt idx="0">
                <c:v>Data Breach</c:v>
              </c:pt>
              <c:pt idx="1">
                <c:v>Phishing</c:v>
              </c:pt>
              <c:pt idx="2">
                <c:v>Insider Threat</c:v>
              </c:pt>
              <c:pt idx="3">
                <c:v>Compliance Violations</c:v>
              </c:pt>
              <c:pt idx="4">
                <c:v>Web Application Attacks</c:v>
              </c:pt>
              <c:pt idx="5">
                <c:v>Third-party Cloud Risks</c:v>
              </c:pt>
            </c:strLit>
          </c:cat>
          <c:val>
            <c:numRef>
              <c:f>'Risk Assesment Tool'!$Q$3:$Q$8</c:f>
              <c:numCache>
                <c:formatCode>0%</c:formatCode>
                <c:ptCount val="6"/>
                <c:pt idx="0">
                  <c:v>0.6</c:v>
                </c:pt>
                <c:pt idx="1">
                  <c:v>0.35</c:v>
                </c:pt>
                <c:pt idx="2">
                  <c:v>0.5</c:v>
                </c:pt>
                <c:pt idx="3">
                  <c:v>0.7</c:v>
                </c:pt>
                <c:pt idx="4">
                  <c:v>0.45</c:v>
                </c:pt>
                <c:pt idx="5">
                  <c:v>0.6</c:v>
                </c:pt>
              </c:numCache>
            </c:numRef>
          </c:val>
          <c:extLst>
            <c:ext xmlns:c16="http://schemas.microsoft.com/office/drawing/2014/chart" uri="{C3380CC4-5D6E-409C-BE32-E72D297353CC}">
              <c16:uniqueId val="{00000005-DA81-4007-8AF2-2E834E0C8469}"/>
            </c:ext>
          </c:extLst>
        </c:ser>
        <c:ser>
          <c:idx val="5"/>
          <c:order val="5"/>
          <c:tx>
            <c:v>Web Application Firewall</c:v>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delete val="1"/>
          </c:dLbls>
          <c:cat>
            <c:strLit>
              <c:ptCount val="6"/>
              <c:pt idx="0">
                <c:v>Data Breach</c:v>
              </c:pt>
              <c:pt idx="1">
                <c:v>Phishing</c:v>
              </c:pt>
              <c:pt idx="2">
                <c:v>Insider Threat</c:v>
              </c:pt>
              <c:pt idx="3">
                <c:v>Compliance Violations</c:v>
              </c:pt>
              <c:pt idx="4">
                <c:v>Web Application Attacks</c:v>
              </c:pt>
              <c:pt idx="5">
                <c:v>Third-party Cloud Risks</c:v>
              </c:pt>
            </c:strLit>
          </c:cat>
          <c:val>
            <c:numRef>
              <c:f>'Risk Assesment Tool'!$U$3:$U$8</c:f>
              <c:numCache>
                <c:formatCode>General</c:formatCode>
                <c:ptCount val="6"/>
                <c:pt idx="0">
                  <c:v>16.2</c:v>
                </c:pt>
                <c:pt idx="1">
                  <c:v>32.4</c:v>
                </c:pt>
                <c:pt idx="2">
                  <c:v>8.8199999999999985</c:v>
                </c:pt>
                <c:pt idx="3">
                  <c:v>6.4799999999999995</c:v>
                </c:pt>
                <c:pt idx="4">
                  <c:v>0.40500000000000008</c:v>
                </c:pt>
                <c:pt idx="5">
                  <c:v>5.3999999999999995</c:v>
                </c:pt>
              </c:numCache>
            </c:numRef>
          </c:val>
          <c:extLst>
            <c:ext xmlns:c16="http://schemas.microsoft.com/office/drawing/2014/chart" uri="{C3380CC4-5D6E-409C-BE32-E72D297353CC}">
              <c16:uniqueId val="{00000006-DA81-4007-8AF2-2E834E0C8469}"/>
            </c:ext>
          </c:extLst>
        </c:ser>
        <c:ser>
          <c:idx val="6"/>
          <c:order val="6"/>
          <c:tx>
            <c:v>Third-party Security Audits</c:v>
          </c:tx>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delete val="1"/>
          </c:dLbls>
          <c:cat>
            <c:strLit>
              <c:ptCount val="6"/>
              <c:pt idx="0">
                <c:v>Data Breach</c:v>
              </c:pt>
              <c:pt idx="1">
                <c:v>Phishing</c:v>
              </c:pt>
              <c:pt idx="2">
                <c:v>Insider Threat</c:v>
              </c:pt>
              <c:pt idx="3">
                <c:v>Compliance Violations</c:v>
              </c:pt>
              <c:pt idx="4">
                <c:v>Web Application Attacks</c:v>
              </c:pt>
              <c:pt idx="5">
                <c:v>Third-party Cloud Risks</c:v>
              </c:pt>
            </c:strLit>
          </c:cat>
          <c:val>
            <c:numRef>
              <c:f>'Risk Assesment Tool'!$X$3:$X$8</c:f>
              <c:numCache>
                <c:formatCode>General</c:formatCode>
                <c:ptCount val="6"/>
                <c:pt idx="0">
                  <c:v>8.1000000000000014</c:v>
                </c:pt>
                <c:pt idx="1">
                  <c:v>21.06</c:v>
                </c:pt>
                <c:pt idx="2">
                  <c:v>3.6</c:v>
                </c:pt>
                <c:pt idx="3">
                  <c:v>0.8999999999999998</c:v>
                </c:pt>
                <c:pt idx="4">
                  <c:v>1.4174999999999998</c:v>
                </c:pt>
                <c:pt idx="5">
                  <c:v>0.81000000000000016</c:v>
                </c:pt>
              </c:numCache>
            </c:numRef>
          </c:val>
          <c:extLst>
            <c:ext xmlns:c16="http://schemas.microsoft.com/office/drawing/2014/chart" uri="{C3380CC4-5D6E-409C-BE32-E72D297353CC}">
              <c16:uniqueId val="{00000007-DA81-4007-8AF2-2E834E0C8469}"/>
            </c:ext>
          </c:extLst>
        </c:ser>
        <c:dLbls>
          <c:showLegendKey val="0"/>
          <c:showVal val="1"/>
          <c:showCatName val="0"/>
          <c:showSerName val="0"/>
          <c:showPercent val="0"/>
          <c:showBubbleSize val="0"/>
        </c:dLbls>
        <c:gapWidth val="100"/>
        <c:overlap val="-24"/>
        <c:axId val="671203336"/>
        <c:axId val="671205384"/>
      </c:barChart>
      <c:catAx>
        <c:axId val="67120333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71205384"/>
        <c:crosses val="autoZero"/>
        <c:auto val="1"/>
        <c:lblAlgn val="ctr"/>
        <c:lblOffset val="100"/>
        <c:noMultiLvlLbl val="0"/>
      </c:catAx>
      <c:valAx>
        <c:axId val="671205384"/>
        <c:scaling>
          <c:orientation val="minMax"/>
          <c:max val="81"/>
          <c:min val="0"/>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7120333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2" Type="http://schemas.openxmlformats.org/officeDocument/2006/relationships/hyperlink" Target="#'Risk Assesment Tool'!A1"/><Relationship Id="rId1" Type="http://schemas.openxmlformats.org/officeDocument/2006/relationships/hyperlink" Target="#'Tutorial Screen'!A1"/></Relationships>
</file>

<file path=xl/drawings/_rels/drawing2.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hyperlink" Target="#'Introduction Screen'!A1"/><Relationship Id="rId6" Type="http://schemas.openxmlformats.org/officeDocument/2006/relationships/image" Target="../media/image5.png"/><Relationship Id="rId5" Type="http://schemas.openxmlformats.org/officeDocument/2006/relationships/image" Target="../media/image4.png"/><Relationship Id="rId4" Type="http://schemas.openxmlformats.org/officeDocument/2006/relationships/image" Target="../media/image3.png"/></Relationships>
</file>

<file path=xl/drawings/_rels/drawing3.xml.rels><?xml version="1.0" encoding="UTF-8" standalone="yes"?>
<Relationships xmlns="http://schemas.openxmlformats.org/package/2006/relationships"><Relationship Id="rId2" Type="http://schemas.openxmlformats.org/officeDocument/2006/relationships/hyperlink" Target="#'Introduction Screen'!A1"/><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38100</xdr:colOff>
      <xdr:row>9</xdr:row>
      <xdr:rowOff>47625</xdr:rowOff>
    </xdr:from>
    <xdr:to>
      <xdr:col>0</xdr:col>
      <xdr:colOff>1152525</xdr:colOff>
      <xdr:row>14</xdr:row>
      <xdr:rowOff>47625</xdr:rowOff>
    </xdr:to>
    <xdr:sp macro="" textlink="">
      <xdr:nvSpPr>
        <xdr:cNvPr id="3" name="Rounded Rectangle 2">
          <a:hlinkClick xmlns:r="http://schemas.openxmlformats.org/officeDocument/2006/relationships" r:id="rId1"/>
          <a:extLst>
            <a:ext uri="{FF2B5EF4-FFF2-40B4-BE49-F238E27FC236}">
              <a16:creationId xmlns:a16="http://schemas.microsoft.com/office/drawing/2014/main" id="{D964F4C7-7E7C-97DB-F4B6-6B7B2CA2E5E8}"/>
            </a:ext>
          </a:extLst>
        </xdr:cNvPr>
        <xdr:cNvSpPr/>
      </xdr:nvSpPr>
      <xdr:spPr>
        <a:xfrm>
          <a:off x="38100" y="1571625"/>
          <a:ext cx="1114425" cy="952500"/>
        </a:xfrm>
        <a:prstGeom prst="roundRect">
          <a:avLst/>
        </a:prstGeom>
      </xdr:spPr>
      <xdr:style>
        <a:lnRef idx="0">
          <a:schemeClr val="accent6"/>
        </a:lnRef>
        <a:fillRef idx="3">
          <a:schemeClr val="accent6"/>
        </a:fillRef>
        <a:effectRef idx="3">
          <a:schemeClr val="accent6"/>
        </a:effectRef>
        <a:fontRef idx="minor">
          <a:schemeClr val="lt1"/>
        </a:fontRef>
      </xdr:style>
      <xdr:txBody>
        <a:bodyPr spcFirstLastPara="0" vertOverflow="clip" horzOverflow="clip" wrap="square" lIns="91440" tIns="45720" rIns="91440" bIns="45720" rtlCol="0" anchor="ctr">
          <a:noAutofit/>
        </a:bodyPr>
        <a:lstStyle/>
        <a:p>
          <a:pPr marL="0" indent="0" algn="ctr"/>
          <a:r>
            <a:rPr lang="en-US" sz="1100" b="1" i="0" u="none" strike="noStrike">
              <a:solidFill>
                <a:schemeClr val="lt1"/>
              </a:solidFill>
              <a:latin typeface="Aptos Narrow" panose="020B0004020202020204" pitchFamily="34" charset="0"/>
            </a:rPr>
            <a:t>View Directions</a:t>
          </a:r>
        </a:p>
      </xdr:txBody>
    </xdr:sp>
    <xdr:clientData/>
  </xdr:twoCellAnchor>
  <xdr:twoCellAnchor>
    <xdr:from>
      <xdr:col>0</xdr:col>
      <xdr:colOff>1266825</xdr:colOff>
      <xdr:row>9</xdr:row>
      <xdr:rowOff>57150</xdr:rowOff>
    </xdr:from>
    <xdr:to>
      <xdr:col>0</xdr:col>
      <xdr:colOff>2381250</xdr:colOff>
      <xdr:row>14</xdr:row>
      <xdr:rowOff>57150</xdr:rowOff>
    </xdr:to>
    <xdr:sp macro="" textlink="">
      <xdr:nvSpPr>
        <xdr:cNvPr id="4" name="Rounded Rectangle 3">
          <a:hlinkClick xmlns:r="http://schemas.openxmlformats.org/officeDocument/2006/relationships" r:id="rId2"/>
          <a:extLst>
            <a:ext uri="{FF2B5EF4-FFF2-40B4-BE49-F238E27FC236}">
              <a16:creationId xmlns:a16="http://schemas.microsoft.com/office/drawing/2014/main" id="{9D25885F-9C20-A3DF-20A7-6B16C98CB193}"/>
            </a:ext>
            <a:ext uri="{147F2762-F138-4A5C-976F-8EAC2B608ADB}">
              <a16:predDERef xmlns:a16="http://schemas.microsoft.com/office/drawing/2014/main" pred="{D964F4C7-7E7C-97DB-F4B6-6B7B2CA2E5E8}"/>
            </a:ext>
          </a:extLst>
        </xdr:cNvPr>
        <xdr:cNvSpPr/>
      </xdr:nvSpPr>
      <xdr:spPr>
        <a:xfrm>
          <a:off x="1266825" y="1581150"/>
          <a:ext cx="1114425" cy="952500"/>
        </a:xfrm>
        <a:prstGeom prst="roundRect">
          <a:avLst/>
        </a:prstGeom>
      </xdr:spPr>
      <xdr:style>
        <a:lnRef idx="0">
          <a:schemeClr val="accent4"/>
        </a:lnRef>
        <a:fillRef idx="3">
          <a:schemeClr val="accent4"/>
        </a:fillRef>
        <a:effectRef idx="3">
          <a:schemeClr val="accent4"/>
        </a:effectRef>
        <a:fontRef idx="minor">
          <a:schemeClr val="lt1"/>
        </a:fontRef>
      </xdr:style>
      <xdr:txBody>
        <a:bodyPr spcFirstLastPara="0" vertOverflow="clip" horzOverflow="clip" wrap="square" lIns="91440" tIns="45720" rIns="91440" bIns="45720" rtlCol="0" anchor="ctr">
          <a:noAutofit/>
        </a:bodyPr>
        <a:lstStyle/>
        <a:p>
          <a:pPr marL="0" indent="0" algn="ctr"/>
          <a:r>
            <a:rPr lang="en-US" sz="1100" b="1" i="0" u="none" strike="noStrike">
              <a:solidFill>
                <a:schemeClr val="lt1"/>
              </a:solidFill>
              <a:latin typeface="Aptos Narrow" panose="020B0004020202020204" pitchFamily="34" charset="0"/>
            </a:rPr>
            <a:t>View Risk Assessment Tool</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21</xdr:col>
      <xdr:colOff>85725</xdr:colOff>
      <xdr:row>27</xdr:row>
      <xdr:rowOff>9525</xdr:rowOff>
    </xdr:from>
    <xdr:to>
      <xdr:col>22</xdr:col>
      <xdr:colOff>590550</xdr:colOff>
      <xdr:row>32</xdr:row>
      <xdr:rowOff>9525</xdr:rowOff>
    </xdr:to>
    <xdr:sp macro="" textlink="">
      <xdr:nvSpPr>
        <xdr:cNvPr id="8" name="Rounded Rectangle 3">
          <a:hlinkClick xmlns:r="http://schemas.openxmlformats.org/officeDocument/2006/relationships" r:id="rId1"/>
          <a:extLst>
            <a:ext uri="{FF2B5EF4-FFF2-40B4-BE49-F238E27FC236}">
              <a16:creationId xmlns:a16="http://schemas.microsoft.com/office/drawing/2014/main" id="{02426F16-0ECF-43A9-B1CA-FA0F0DE18642}"/>
            </a:ext>
            <a:ext uri="{147F2762-F138-4A5C-976F-8EAC2B608ADB}">
              <a16:predDERef xmlns:a16="http://schemas.microsoft.com/office/drawing/2014/main" pred="{D964F4C7-7E7C-97DB-F4B6-6B7B2CA2E5E8}"/>
            </a:ext>
          </a:extLst>
        </xdr:cNvPr>
        <xdr:cNvSpPr/>
      </xdr:nvSpPr>
      <xdr:spPr>
        <a:xfrm>
          <a:off x="12887325" y="5153025"/>
          <a:ext cx="1114425" cy="952500"/>
        </a:xfrm>
        <a:prstGeom prst="roundRect">
          <a:avLst/>
        </a:prstGeom>
        <a:gradFill rotWithShape="1">
          <a:gsLst>
            <a:gs pos="0">
              <a:srgbClr val="0F9ED5">
                <a:satMod val="103000"/>
                <a:lumMod val="102000"/>
                <a:tint val="94000"/>
              </a:srgbClr>
            </a:gs>
            <a:gs pos="50000">
              <a:srgbClr val="0F9ED5">
                <a:satMod val="110000"/>
                <a:lumMod val="100000"/>
                <a:shade val="100000"/>
              </a:srgbClr>
            </a:gs>
            <a:gs pos="100000">
              <a:srgbClr val="0F9ED5">
                <a:lumMod val="99000"/>
                <a:satMod val="120000"/>
                <a:shade val="78000"/>
              </a:srgbClr>
            </a:gs>
          </a:gsLst>
          <a:lin ang="5400000" scaled="0"/>
        </a:gradFill>
        <a:ln>
          <a:noFill/>
        </a:ln>
        <a:effectLst>
          <a:outerShdw blurRad="57150" dist="19050" dir="5400000" algn="ctr" rotWithShape="0">
            <a:srgbClr val="000000">
              <a:alpha val="63000"/>
            </a:srgbClr>
          </a:outerShdw>
        </a:effectLst>
      </xdr:spPr>
      <xdr:txBody>
        <a:bodyPr spcFirstLastPara="0" vertOverflow="clip" horzOverflow="clip" wrap="square" lIns="91440" tIns="45720" rIns="91440" bIns="45720" rtlCol="0" anchor="ctr">
          <a:noAutofit/>
        </a:bodyP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sysClr val="window" lastClr="FFFFFF"/>
              </a:solidFill>
              <a:effectLst/>
              <a:uLnTx/>
              <a:uFillTx/>
              <a:latin typeface="Aptos Narrow" panose="020B0004020202020204" pitchFamily="34" charset="0"/>
              <a:ea typeface="+mn-ea"/>
              <a:cs typeface="+mn-cs"/>
            </a:rPr>
            <a:t>Back to Introduction Screen</a:t>
          </a:r>
        </a:p>
      </xdr:txBody>
    </xdr:sp>
    <xdr:clientData/>
  </xdr:twoCellAnchor>
  <xdr:twoCellAnchor editAs="oneCell">
    <xdr:from>
      <xdr:col>0</xdr:col>
      <xdr:colOff>0</xdr:colOff>
      <xdr:row>2</xdr:row>
      <xdr:rowOff>9525</xdr:rowOff>
    </xdr:from>
    <xdr:to>
      <xdr:col>7</xdr:col>
      <xdr:colOff>190500</xdr:colOff>
      <xdr:row>17</xdr:row>
      <xdr:rowOff>171450</xdr:rowOff>
    </xdr:to>
    <xdr:pic>
      <xdr:nvPicPr>
        <xdr:cNvPr id="4" name="Picture 3">
          <a:extLst>
            <a:ext uri="{FF2B5EF4-FFF2-40B4-BE49-F238E27FC236}">
              <a16:creationId xmlns:a16="http://schemas.microsoft.com/office/drawing/2014/main" id="{7482B811-165A-5C24-1AE4-B2B585DB6DD1}"/>
            </a:ext>
            <a:ext uri="{147F2762-F138-4A5C-976F-8EAC2B608ADB}">
              <a16:predDERef xmlns:a16="http://schemas.microsoft.com/office/drawing/2014/main" pred="{5F124363-F888-F0A2-9D1C-70721CB00C21}"/>
            </a:ext>
          </a:extLst>
        </xdr:cNvPr>
        <xdr:cNvPicPr>
          <a:picLocks noChangeAspect="1"/>
        </xdr:cNvPicPr>
      </xdr:nvPicPr>
      <xdr:blipFill>
        <a:blip xmlns:r="http://schemas.openxmlformats.org/officeDocument/2006/relationships" r:embed="rId2"/>
        <a:stretch>
          <a:fillRect/>
        </a:stretch>
      </xdr:blipFill>
      <xdr:spPr>
        <a:xfrm>
          <a:off x="0" y="390525"/>
          <a:ext cx="4457700" cy="3019425"/>
        </a:xfrm>
        <a:prstGeom prst="rect">
          <a:avLst/>
        </a:prstGeom>
      </xdr:spPr>
    </xdr:pic>
    <xdr:clientData/>
  </xdr:twoCellAnchor>
  <xdr:twoCellAnchor editAs="oneCell">
    <xdr:from>
      <xdr:col>7</xdr:col>
      <xdr:colOff>285750</xdr:colOff>
      <xdr:row>2</xdr:row>
      <xdr:rowOff>9525</xdr:rowOff>
    </xdr:from>
    <xdr:to>
      <xdr:col>15</xdr:col>
      <xdr:colOff>447675</xdr:colOff>
      <xdr:row>18</xdr:row>
      <xdr:rowOff>133350</xdr:rowOff>
    </xdr:to>
    <xdr:pic>
      <xdr:nvPicPr>
        <xdr:cNvPr id="5" name="Picture 4">
          <a:extLst>
            <a:ext uri="{FF2B5EF4-FFF2-40B4-BE49-F238E27FC236}">
              <a16:creationId xmlns:a16="http://schemas.microsoft.com/office/drawing/2014/main" id="{11DF6287-15DE-D8B4-5EB3-FED8DCEB30F5}"/>
            </a:ext>
            <a:ext uri="{147F2762-F138-4A5C-976F-8EAC2B608ADB}">
              <a16:predDERef xmlns:a16="http://schemas.microsoft.com/office/drawing/2014/main" pred="{7482B811-165A-5C24-1AE4-B2B585DB6DD1}"/>
            </a:ext>
          </a:extLst>
        </xdr:cNvPr>
        <xdr:cNvPicPr>
          <a:picLocks noChangeAspect="1"/>
        </xdr:cNvPicPr>
      </xdr:nvPicPr>
      <xdr:blipFill>
        <a:blip xmlns:r="http://schemas.openxmlformats.org/officeDocument/2006/relationships" r:embed="rId3"/>
        <a:stretch>
          <a:fillRect/>
        </a:stretch>
      </xdr:blipFill>
      <xdr:spPr>
        <a:xfrm>
          <a:off x="4552950" y="390525"/>
          <a:ext cx="5038725" cy="3171825"/>
        </a:xfrm>
        <a:prstGeom prst="rect">
          <a:avLst/>
        </a:prstGeom>
      </xdr:spPr>
    </xdr:pic>
    <xdr:clientData/>
  </xdr:twoCellAnchor>
  <xdr:twoCellAnchor editAs="oneCell">
    <xdr:from>
      <xdr:col>16</xdr:col>
      <xdr:colOff>66675</xdr:colOff>
      <xdr:row>2</xdr:row>
      <xdr:rowOff>95250</xdr:rowOff>
    </xdr:from>
    <xdr:to>
      <xdr:col>25</xdr:col>
      <xdr:colOff>114300</xdr:colOff>
      <xdr:row>19</xdr:row>
      <xdr:rowOff>57150</xdr:rowOff>
    </xdr:to>
    <xdr:pic>
      <xdr:nvPicPr>
        <xdr:cNvPr id="6" name="Picture 5">
          <a:extLst>
            <a:ext uri="{FF2B5EF4-FFF2-40B4-BE49-F238E27FC236}">
              <a16:creationId xmlns:a16="http://schemas.microsoft.com/office/drawing/2014/main" id="{198C9C46-0037-AFB4-C7C6-1D8D46BD2242}"/>
            </a:ext>
            <a:ext uri="{147F2762-F138-4A5C-976F-8EAC2B608ADB}">
              <a16:predDERef xmlns:a16="http://schemas.microsoft.com/office/drawing/2014/main" pred="{11DF6287-15DE-D8B4-5EB3-FED8DCEB30F5}"/>
            </a:ext>
          </a:extLst>
        </xdr:cNvPr>
        <xdr:cNvPicPr>
          <a:picLocks noChangeAspect="1"/>
        </xdr:cNvPicPr>
      </xdr:nvPicPr>
      <xdr:blipFill>
        <a:blip xmlns:r="http://schemas.openxmlformats.org/officeDocument/2006/relationships" r:embed="rId4"/>
        <a:stretch>
          <a:fillRect/>
        </a:stretch>
      </xdr:blipFill>
      <xdr:spPr>
        <a:xfrm>
          <a:off x="9820275" y="476250"/>
          <a:ext cx="5534025" cy="3200400"/>
        </a:xfrm>
        <a:prstGeom prst="rect">
          <a:avLst/>
        </a:prstGeom>
      </xdr:spPr>
    </xdr:pic>
    <xdr:clientData/>
  </xdr:twoCellAnchor>
  <xdr:twoCellAnchor editAs="oneCell">
    <xdr:from>
      <xdr:col>0</xdr:col>
      <xdr:colOff>247650</xdr:colOff>
      <xdr:row>20</xdr:row>
      <xdr:rowOff>123825</xdr:rowOff>
    </xdr:from>
    <xdr:to>
      <xdr:col>7</xdr:col>
      <xdr:colOff>552450</xdr:colOff>
      <xdr:row>33</xdr:row>
      <xdr:rowOff>123825</xdr:rowOff>
    </xdr:to>
    <xdr:pic>
      <xdr:nvPicPr>
        <xdr:cNvPr id="7" name="Picture 6">
          <a:extLst>
            <a:ext uri="{FF2B5EF4-FFF2-40B4-BE49-F238E27FC236}">
              <a16:creationId xmlns:a16="http://schemas.microsoft.com/office/drawing/2014/main" id="{2AD63567-2427-F3DB-9ADD-4A13D2C4468C}"/>
            </a:ext>
            <a:ext uri="{147F2762-F138-4A5C-976F-8EAC2B608ADB}">
              <a16:predDERef xmlns:a16="http://schemas.microsoft.com/office/drawing/2014/main" pred="{198C9C46-0037-AFB4-C7C6-1D8D46BD2242}"/>
            </a:ext>
          </a:extLst>
        </xdr:cNvPr>
        <xdr:cNvPicPr>
          <a:picLocks noChangeAspect="1"/>
        </xdr:cNvPicPr>
      </xdr:nvPicPr>
      <xdr:blipFill>
        <a:blip xmlns:r="http://schemas.openxmlformats.org/officeDocument/2006/relationships" r:embed="rId5"/>
        <a:stretch>
          <a:fillRect/>
        </a:stretch>
      </xdr:blipFill>
      <xdr:spPr>
        <a:xfrm>
          <a:off x="247650" y="3933825"/>
          <a:ext cx="4572000" cy="2476500"/>
        </a:xfrm>
        <a:prstGeom prst="rect">
          <a:avLst/>
        </a:prstGeom>
      </xdr:spPr>
    </xdr:pic>
    <xdr:clientData/>
  </xdr:twoCellAnchor>
  <xdr:twoCellAnchor editAs="oneCell">
    <xdr:from>
      <xdr:col>8</xdr:col>
      <xdr:colOff>171450</xdr:colOff>
      <xdr:row>19</xdr:row>
      <xdr:rowOff>142875</xdr:rowOff>
    </xdr:from>
    <xdr:to>
      <xdr:col>17</xdr:col>
      <xdr:colOff>171450</xdr:colOff>
      <xdr:row>33</xdr:row>
      <xdr:rowOff>152400</xdr:rowOff>
    </xdr:to>
    <xdr:pic>
      <xdr:nvPicPr>
        <xdr:cNvPr id="9" name="Picture 8">
          <a:extLst>
            <a:ext uri="{FF2B5EF4-FFF2-40B4-BE49-F238E27FC236}">
              <a16:creationId xmlns:a16="http://schemas.microsoft.com/office/drawing/2014/main" id="{923007B5-1642-A369-D220-EB85370F39A1}"/>
            </a:ext>
            <a:ext uri="{147F2762-F138-4A5C-976F-8EAC2B608ADB}">
              <a16:predDERef xmlns:a16="http://schemas.microsoft.com/office/drawing/2014/main" pred="{2AD63567-2427-F3DB-9ADD-4A13D2C4468C}"/>
            </a:ext>
          </a:extLst>
        </xdr:cNvPr>
        <xdr:cNvPicPr>
          <a:picLocks noChangeAspect="1"/>
        </xdr:cNvPicPr>
      </xdr:nvPicPr>
      <xdr:blipFill>
        <a:blip xmlns:r="http://schemas.openxmlformats.org/officeDocument/2006/relationships" r:embed="rId6"/>
        <a:stretch>
          <a:fillRect/>
        </a:stretch>
      </xdr:blipFill>
      <xdr:spPr>
        <a:xfrm>
          <a:off x="5048250" y="3762375"/>
          <a:ext cx="5486400" cy="267652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2</xdr:col>
      <xdr:colOff>38100</xdr:colOff>
      <xdr:row>11</xdr:row>
      <xdr:rowOff>38100</xdr:rowOff>
    </xdr:from>
    <xdr:to>
      <xdr:col>10</xdr:col>
      <xdr:colOff>1266825</xdr:colOff>
      <xdr:row>38</xdr:row>
      <xdr:rowOff>152400</xdr:rowOff>
    </xdr:to>
    <xdr:graphicFrame macro="">
      <xdr:nvGraphicFramePr>
        <xdr:cNvPr id="19" name="Chart 4">
          <a:extLst>
            <a:ext uri="{FF2B5EF4-FFF2-40B4-BE49-F238E27FC236}">
              <a16:creationId xmlns:a16="http://schemas.microsoft.com/office/drawing/2014/main" id="{307FAF5E-3422-372C-D83A-DB3F8EB5E0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47625</xdr:colOff>
      <xdr:row>17</xdr:row>
      <xdr:rowOff>38100</xdr:rowOff>
    </xdr:from>
    <xdr:to>
      <xdr:col>0</xdr:col>
      <xdr:colOff>1162050</xdr:colOff>
      <xdr:row>22</xdr:row>
      <xdr:rowOff>38100</xdr:rowOff>
    </xdr:to>
    <xdr:sp macro="" textlink="">
      <xdr:nvSpPr>
        <xdr:cNvPr id="9" name="Rounded Rectangle 3">
          <a:hlinkClick xmlns:r="http://schemas.openxmlformats.org/officeDocument/2006/relationships" r:id="rId2"/>
          <a:extLst>
            <a:ext uri="{FF2B5EF4-FFF2-40B4-BE49-F238E27FC236}">
              <a16:creationId xmlns:a16="http://schemas.microsoft.com/office/drawing/2014/main" id="{72E435E0-DCCC-4D5B-838F-34566210FDAC}"/>
            </a:ext>
            <a:ext uri="{147F2762-F138-4A5C-976F-8EAC2B608ADB}">
              <a16:predDERef xmlns:a16="http://schemas.microsoft.com/office/drawing/2014/main" pred="{D964F4C7-7E7C-97DB-F4B6-6B7B2CA2E5E8}"/>
            </a:ext>
          </a:extLst>
        </xdr:cNvPr>
        <xdr:cNvSpPr/>
      </xdr:nvSpPr>
      <xdr:spPr>
        <a:xfrm>
          <a:off x="47625" y="5753100"/>
          <a:ext cx="1114425" cy="952500"/>
        </a:xfrm>
        <a:prstGeom prst="roundRect">
          <a:avLst/>
        </a:prstGeom>
        <a:gradFill rotWithShape="1">
          <a:gsLst>
            <a:gs pos="0">
              <a:srgbClr val="0F9ED5">
                <a:satMod val="103000"/>
                <a:lumMod val="102000"/>
                <a:tint val="94000"/>
              </a:srgbClr>
            </a:gs>
            <a:gs pos="50000">
              <a:srgbClr val="0F9ED5">
                <a:satMod val="110000"/>
                <a:lumMod val="100000"/>
                <a:shade val="100000"/>
              </a:srgbClr>
            </a:gs>
            <a:gs pos="100000">
              <a:srgbClr val="0F9ED5">
                <a:lumMod val="99000"/>
                <a:satMod val="120000"/>
                <a:shade val="78000"/>
              </a:srgbClr>
            </a:gs>
          </a:gsLst>
          <a:lin ang="5400000" scaled="0"/>
        </a:gradFill>
        <a:ln>
          <a:noFill/>
        </a:ln>
        <a:effectLst>
          <a:outerShdw blurRad="57150" dist="19050" dir="5400000" algn="ctr" rotWithShape="0">
            <a:srgbClr val="000000">
              <a:alpha val="63000"/>
            </a:srgbClr>
          </a:outerShdw>
        </a:effectLst>
      </xdr:spPr>
      <xdr:txBody>
        <a:bodyPr spcFirstLastPara="0" vertOverflow="clip" horzOverflow="clip" wrap="square" lIns="91440" tIns="45720" rIns="91440" bIns="45720" rtlCol="0" anchor="ctr">
          <a:noAutofit/>
        </a:bodyP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sysClr val="window" lastClr="FFFFFF"/>
              </a:solidFill>
              <a:effectLst/>
              <a:uLnTx/>
              <a:uFillTx/>
              <a:latin typeface="Aptos Narrow" panose="020B0004020202020204" pitchFamily="34" charset="0"/>
              <a:ea typeface="+mn-ea"/>
              <a:cs typeface="+mn-cs"/>
            </a:rPr>
            <a:t>Back to Introduction Screen</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CBC013-668C-44AA-837E-E3E73C455025}">
  <dimension ref="A1:I8"/>
  <sheetViews>
    <sheetView workbookViewId="0"/>
  </sheetViews>
  <sheetFormatPr defaultRowHeight="15"/>
  <cols>
    <col min="1" max="1" width="36.5703125" bestFit="1" customWidth="1"/>
  </cols>
  <sheetData>
    <row r="1" spans="1:9">
      <c r="A1" s="40" t="s">
        <v>0</v>
      </c>
      <c r="B1" s="41"/>
      <c r="C1" s="41"/>
      <c r="D1" s="41"/>
      <c r="E1" s="41"/>
    </row>
    <row r="2" spans="1:9" ht="15" customHeight="1">
      <c r="A2" s="42" t="s">
        <v>1</v>
      </c>
      <c r="B2" s="42"/>
      <c r="C2" s="42"/>
      <c r="D2" s="42"/>
      <c r="E2" s="42"/>
      <c r="F2" s="42"/>
      <c r="G2" s="42"/>
      <c r="H2" s="42"/>
      <c r="I2" s="42"/>
    </row>
    <row r="3" spans="1:9">
      <c r="A3" s="42"/>
      <c r="B3" s="42"/>
      <c r="C3" s="42"/>
      <c r="D3" s="42"/>
      <c r="E3" s="42"/>
      <c r="F3" s="42"/>
      <c r="G3" s="42"/>
      <c r="H3" s="42"/>
      <c r="I3" s="42"/>
    </row>
    <row r="4" spans="1:9">
      <c r="A4" s="42"/>
      <c r="B4" s="42"/>
      <c r="C4" s="42"/>
      <c r="D4" s="42"/>
      <c r="E4" s="42"/>
      <c r="F4" s="42"/>
      <c r="G4" s="42"/>
      <c r="H4" s="42"/>
      <c r="I4" s="42"/>
    </row>
    <row r="5" spans="1:9">
      <c r="A5" s="42"/>
      <c r="B5" s="42"/>
      <c r="C5" s="42"/>
      <c r="D5" s="42"/>
      <c r="E5" s="42"/>
      <c r="F5" s="42"/>
      <c r="G5" s="42"/>
      <c r="H5" s="42"/>
      <c r="I5" s="42"/>
    </row>
    <row r="6" spans="1:9">
      <c r="A6" s="42"/>
      <c r="B6" s="42"/>
      <c r="C6" s="42"/>
      <c r="D6" s="42"/>
      <c r="E6" s="42"/>
      <c r="F6" s="42"/>
      <c r="G6" s="42"/>
      <c r="H6" s="42"/>
      <c r="I6" s="42"/>
    </row>
    <row r="7" spans="1:9">
      <c r="A7" s="25"/>
      <c r="B7" s="25"/>
      <c r="C7" s="25"/>
      <c r="D7" s="25"/>
      <c r="E7" s="25"/>
    </row>
    <row r="8" spans="1:9" ht="45">
      <c r="A8" s="20" t="s">
        <v>2</v>
      </c>
    </row>
  </sheetData>
  <mergeCells count="2">
    <mergeCell ref="A1:E1"/>
    <mergeCell ref="A2:I6"/>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ADFABE-3112-4361-BF12-01A6F784D99C}">
  <dimension ref="A1:AC41"/>
  <sheetViews>
    <sheetView workbookViewId="0"/>
  </sheetViews>
  <sheetFormatPr defaultRowHeight="15"/>
  <sheetData>
    <row r="1" spans="1:29">
      <c r="A1" s="43" t="s">
        <v>3</v>
      </c>
      <c r="B1" s="41"/>
      <c r="C1" s="41"/>
      <c r="D1" s="41"/>
      <c r="E1" s="41"/>
    </row>
    <row r="2" spans="1:29" ht="15" customHeight="1">
      <c r="A2" s="42" t="s">
        <v>4</v>
      </c>
      <c r="B2" s="42"/>
      <c r="C2" s="42"/>
      <c r="D2" s="42"/>
      <c r="E2" s="42"/>
      <c r="F2" s="42"/>
      <c r="G2" s="42"/>
      <c r="H2" s="42"/>
      <c r="I2" s="42"/>
      <c r="J2" s="42"/>
      <c r="K2" s="42"/>
      <c r="L2" s="42"/>
      <c r="M2" s="42"/>
      <c r="N2" s="42"/>
      <c r="O2" s="42"/>
      <c r="P2" s="42"/>
      <c r="Q2" s="42"/>
      <c r="R2" s="42"/>
      <c r="S2" s="42"/>
      <c r="T2" s="42"/>
      <c r="U2" s="42"/>
      <c r="V2" s="42"/>
      <c r="W2" s="42"/>
      <c r="X2" s="42"/>
      <c r="Y2" s="42"/>
      <c r="Z2" s="42"/>
      <c r="AA2" s="42"/>
      <c r="AB2" s="42"/>
      <c r="AC2" s="42"/>
    </row>
    <row r="3" spans="1:29">
      <c r="A3" s="42"/>
      <c r="B3" s="42"/>
      <c r="C3" s="42"/>
      <c r="D3" s="42"/>
      <c r="E3" s="42"/>
      <c r="F3" s="42"/>
      <c r="G3" s="42"/>
      <c r="H3" s="42"/>
      <c r="I3" s="42"/>
      <c r="J3" s="42"/>
      <c r="K3" s="42"/>
      <c r="L3" s="42"/>
      <c r="M3" s="42"/>
      <c r="N3" s="42"/>
      <c r="O3" s="42"/>
      <c r="P3" s="42"/>
      <c r="Q3" s="42"/>
      <c r="R3" s="42"/>
      <c r="S3" s="42"/>
      <c r="T3" s="42"/>
      <c r="U3" s="42"/>
      <c r="V3" s="42"/>
      <c r="W3" s="42"/>
      <c r="X3" s="42"/>
      <c r="Y3" s="42"/>
      <c r="Z3" s="42"/>
      <c r="AA3" s="42"/>
      <c r="AB3" s="42"/>
      <c r="AC3" s="42"/>
    </row>
    <row r="4" spans="1:29">
      <c r="A4" s="42"/>
      <c r="B4" s="42"/>
      <c r="C4" s="42"/>
      <c r="D4" s="42"/>
      <c r="E4" s="42"/>
      <c r="F4" s="42"/>
      <c r="G4" s="42"/>
      <c r="H4" s="42"/>
      <c r="I4" s="42"/>
      <c r="J4" s="42"/>
      <c r="K4" s="42"/>
      <c r="L4" s="42"/>
      <c r="M4" s="42"/>
      <c r="N4" s="42"/>
      <c r="O4" s="42"/>
      <c r="P4" s="42"/>
      <c r="Q4" s="42"/>
      <c r="R4" s="42"/>
      <c r="S4" s="42"/>
      <c r="T4" s="42"/>
      <c r="U4" s="42"/>
      <c r="V4" s="42"/>
      <c r="W4" s="42"/>
      <c r="X4" s="42"/>
      <c r="Y4" s="42"/>
      <c r="Z4" s="42"/>
      <c r="AA4" s="42"/>
      <c r="AB4" s="42"/>
      <c r="AC4" s="42"/>
    </row>
    <row r="5" spans="1:29">
      <c r="A5" s="42"/>
      <c r="B5" s="42"/>
      <c r="C5" s="42"/>
      <c r="D5" s="42"/>
      <c r="E5" s="42"/>
      <c r="F5" s="42"/>
      <c r="G5" s="42"/>
      <c r="H5" s="42"/>
      <c r="I5" s="42"/>
      <c r="J5" s="42"/>
      <c r="K5" s="42"/>
      <c r="L5" s="42"/>
      <c r="M5" s="42"/>
      <c r="N5" s="42"/>
      <c r="O5" s="42"/>
      <c r="P5" s="42"/>
      <c r="Q5" s="42"/>
      <c r="R5" s="42"/>
      <c r="S5" s="42"/>
      <c r="T5" s="42"/>
      <c r="U5" s="42"/>
      <c r="V5" s="42"/>
      <c r="W5" s="42"/>
      <c r="X5" s="42"/>
      <c r="Y5" s="42"/>
      <c r="Z5" s="42"/>
      <c r="AA5" s="42"/>
      <c r="AB5" s="42"/>
      <c r="AC5" s="42"/>
    </row>
    <row r="6" spans="1:29">
      <c r="A6" s="42"/>
      <c r="B6" s="42"/>
      <c r="C6" s="42"/>
      <c r="D6" s="42"/>
      <c r="E6" s="42"/>
      <c r="F6" s="42"/>
      <c r="G6" s="42"/>
      <c r="H6" s="42"/>
      <c r="I6" s="42"/>
      <c r="J6" s="42"/>
      <c r="K6" s="42"/>
      <c r="L6" s="42"/>
      <c r="M6" s="42"/>
      <c r="N6" s="42"/>
      <c r="O6" s="42"/>
      <c r="P6" s="42"/>
      <c r="Q6" s="42"/>
      <c r="R6" s="42"/>
      <c r="S6" s="42"/>
      <c r="T6" s="42"/>
      <c r="U6" s="42"/>
      <c r="V6" s="42"/>
      <c r="W6" s="42"/>
      <c r="X6" s="42"/>
      <c r="Y6" s="42"/>
      <c r="Z6" s="42"/>
      <c r="AA6" s="42"/>
      <c r="AB6" s="42"/>
      <c r="AC6" s="42"/>
    </row>
    <row r="7" spans="1:29">
      <c r="A7" s="42"/>
      <c r="B7" s="42"/>
      <c r="C7" s="42"/>
      <c r="D7" s="42"/>
      <c r="E7" s="42"/>
      <c r="F7" s="42"/>
      <c r="G7" s="42"/>
      <c r="H7" s="42"/>
      <c r="I7" s="42"/>
      <c r="J7" s="42"/>
      <c r="K7" s="42"/>
      <c r="L7" s="42"/>
      <c r="M7" s="42"/>
      <c r="N7" s="42"/>
      <c r="O7" s="42"/>
      <c r="P7" s="42"/>
      <c r="Q7" s="42"/>
      <c r="R7" s="42"/>
      <c r="S7" s="42"/>
      <c r="T7" s="42"/>
      <c r="U7" s="42"/>
      <c r="V7" s="42"/>
      <c r="W7" s="42"/>
      <c r="X7" s="42"/>
      <c r="Y7" s="42"/>
      <c r="Z7" s="42"/>
      <c r="AA7" s="42"/>
      <c r="AB7" s="42"/>
      <c r="AC7" s="42"/>
    </row>
    <row r="8" spans="1:29">
      <c r="A8" s="42"/>
      <c r="B8" s="42"/>
      <c r="C8" s="42"/>
      <c r="D8" s="42"/>
      <c r="E8" s="42"/>
      <c r="F8" s="42"/>
      <c r="G8" s="42"/>
      <c r="H8" s="42"/>
      <c r="I8" s="42"/>
      <c r="J8" s="42"/>
      <c r="K8" s="42"/>
      <c r="L8" s="42"/>
      <c r="M8" s="42"/>
      <c r="N8" s="42"/>
      <c r="O8" s="42"/>
      <c r="P8" s="42"/>
      <c r="Q8" s="42"/>
      <c r="R8" s="42"/>
      <c r="S8" s="42"/>
      <c r="T8" s="42"/>
      <c r="U8" s="42"/>
      <c r="V8" s="42"/>
      <c r="W8" s="42"/>
      <c r="X8" s="42"/>
      <c r="Y8" s="42"/>
      <c r="Z8" s="42"/>
      <c r="AA8" s="42"/>
      <c r="AB8" s="42"/>
      <c r="AC8" s="42"/>
    </row>
    <row r="9" spans="1:29">
      <c r="A9" s="42"/>
      <c r="B9" s="42"/>
      <c r="C9" s="42"/>
      <c r="D9" s="42"/>
      <c r="E9" s="42"/>
      <c r="F9" s="42"/>
      <c r="G9" s="42"/>
      <c r="H9" s="42"/>
      <c r="I9" s="42"/>
      <c r="J9" s="42"/>
      <c r="K9" s="42"/>
      <c r="L9" s="42"/>
      <c r="M9" s="42"/>
      <c r="N9" s="42"/>
      <c r="O9" s="42"/>
      <c r="P9" s="42"/>
      <c r="Q9" s="42"/>
      <c r="R9" s="42"/>
      <c r="S9" s="42"/>
      <c r="T9" s="42"/>
      <c r="U9" s="42"/>
      <c r="V9" s="42"/>
      <c r="W9" s="42"/>
      <c r="X9" s="42"/>
      <c r="Y9" s="42"/>
      <c r="Z9" s="42"/>
      <c r="AA9" s="42"/>
      <c r="AB9" s="42"/>
      <c r="AC9" s="42"/>
    </row>
    <row r="10" spans="1:29">
      <c r="A10" s="42"/>
      <c r="B10" s="42"/>
      <c r="C10" s="42"/>
      <c r="D10" s="42"/>
      <c r="E10" s="42"/>
      <c r="F10" s="42"/>
      <c r="G10" s="42"/>
      <c r="H10" s="42"/>
      <c r="I10" s="42"/>
      <c r="J10" s="42"/>
      <c r="K10" s="42"/>
      <c r="L10" s="42"/>
      <c r="M10" s="42"/>
      <c r="N10" s="42"/>
      <c r="O10" s="42"/>
      <c r="P10" s="42"/>
      <c r="Q10" s="42"/>
      <c r="R10" s="42"/>
      <c r="S10" s="42"/>
      <c r="T10" s="42"/>
      <c r="U10" s="42"/>
      <c r="V10" s="42"/>
      <c r="W10" s="42"/>
      <c r="X10" s="42"/>
      <c r="Y10" s="42"/>
      <c r="Z10" s="42"/>
      <c r="AA10" s="42"/>
      <c r="AB10" s="42"/>
      <c r="AC10" s="42"/>
    </row>
    <row r="11" spans="1:29">
      <c r="A11" s="42"/>
      <c r="B11" s="42"/>
      <c r="C11" s="42"/>
      <c r="D11" s="42"/>
      <c r="E11" s="42"/>
      <c r="F11" s="42"/>
      <c r="G11" s="42"/>
      <c r="H11" s="42"/>
      <c r="I11" s="42"/>
      <c r="J11" s="42"/>
      <c r="K11" s="42"/>
      <c r="L11" s="42"/>
      <c r="M11" s="42"/>
      <c r="N11" s="42"/>
      <c r="O11" s="42"/>
      <c r="P11" s="42"/>
      <c r="Q11" s="42"/>
      <c r="R11" s="42"/>
      <c r="S11" s="42"/>
      <c r="T11" s="42"/>
      <c r="U11" s="42"/>
      <c r="V11" s="42"/>
      <c r="W11" s="42"/>
      <c r="X11" s="42"/>
      <c r="Y11" s="42"/>
      <c r="Z11" s="42"/>
      <c r="AA11" s="42"/>
      <c r="AB11" s="42"/>
      <c r="AC11" s="42"/>
    </row>
    <row r="12" spans="1:29">
      <c r="A12" s="42"/>
      <c r="B12" s="42"/>
      <c r="C12" s="42"/>
      <c r="D12" s="42"/>
      <c r="E12" s="42"/>
      <c r="F12" s="42"/>
      <c r="G12" s="42"/>
      <c r="H12" s="42"/>
      <c r="I12" s="42"/>
      <c r="J12" s="42"/>
      <c r="K12" s="42"/>
      <c r="L12" s="42"/>
      <c r="M12" s="42"/>
      <c r="N12" s="42"/>
      <c r="O12" s="42"/>
      <c r="P12" s="42"/>
      <c r="Q12" s="42"/>
      <c r="R12" s="42"/>
      <c r="S12" s="42"/>
      <c r="T12" s="42"/>
      <c r="U12" s="42"/>
      <c r="V12" s="42"/>
      <c r="W12" s="42"/>
      <c r="X12" s="42"/>
      <c r="Y12" s="42"/>
      <c r="Z12" s="42"/>
      <c r="AA12" s="42"/>
      <c r="AB12" s="42"/>
      <c r="AC12" s="42"/>
    </row>
    <row r="13" spans="1:29">
      <c r="A13" s="42"/>
      <c r="B13" s="42"/>
      <c r="C13" s="42"/>
      <c r="D13" s="42"/>
      <c r="E13" s="42"/>
      <c r="F13" s="42"/>
      <c r="G13" s="42"/>
      <c r="H13" s="42"/>
      <c r="I13" s="42"/>
      <c r="J13" s="42"/>
      <c r="K13" s="42"/>
      <c r="L13" s="42"/>
      <c r="M13" s="42"/>
      <c r="N13" s="42"/>
      <c r="O13" s="42"/>
      <c r="P13" s="42"/>
      <c r="Q13" s="42"/>
      <c r="R13" s="42"/>
      <c r="S13" s="42"/>
      <c r="T13" s="42"/>
      <c r="U13" s="42"/>
      <c r="V13" s="42"/>
      <c r="W13" s="42"/>
      <c r="X13" s="42"/>
      <c r="Y13" s="42"/>
      <c r="Z13" s="42"/>
      <c r="AA13" s="42"/>
      <c r="AB13" s="42"/>
      <c r="AC13" s="42"/>
    </row>
    <row r="14" spans="1:29">
      <c r="A14" s="42"/>
      <c r="B14" s="42"/>
      <c r="C14" s="42"/>
      <c r="D14" s="42"/>
      <c r="E14" s="42"/>
      <c r="F14" s="42"/>
      <c r="G14" s="42"/>
      <c r="H14" s="42"/>
      <c r="I14" s="42"/>
      <c r="J14" s="42"/>
      <c r="K14" s="42"/>
      <c r="L14" s="42"/>
      <c r="M14" s="42"/>
      <c r="N14" s="42"/>
      <c r="O14" s="42"/>
      <c r="P14" s="42"/>
      <c r="Q14" s="42"/>
      <c r="R14" s="42"/>
      <c r="S14" s="42"/>
      <c r="T14" s="42"/>
      <c r="U14" s="42"/>
      <c r="V14" s="42"/>
      <c r="W14" s="42"/>
      <c r="X14" s="42"/>
      <c r="Y14" s="42"/>
      <c r="Z14" s="42"/>
      <c r="AA14" s="42"/>
      <c r="AB14" s="42"/>
      <c r="AC14" s="42"/>
    </row>
    <row r="15" spans="1:29">
      <c r="A15" s="42"/>
      <c r="B15" s="42"/>
      <c r="C15" s="42"/>
      <c r="D15" s="42"/>
      <c r="E15" s="42"/>
      <c r="F15" s="42"/>
      <c r="G15" s="42"/>
      <c r="H15" s="42"/>
      <c r="I15" s="42"/>
      <c r="J15" s="42"/>
      <c r="K15" s="42"/>
      <c r="L15" s="42"/>
      <c r="M15" s="42"/>
      <c r="N15" s="42"/>
      <c r="O15" s="42"/>
      <c r="P15" s="42"/>
      <c r="Q15" s="42"/>
      <c r="R15" s="42"/>
      <c r="S15" s="42"/>
      <c r="T15" s="42"/>
      <c r="U15" s="42"/>
      <c r="V15" s="42"/>
      <c r="W15" s="42"/>
      <c r="X15" s="42"/>
      <c r="Y15" s="42"/>
      <c r="Z15" s="42"/>
      <c r="AA15" s="42"/>
      <c r="AB15" s="42"/>
      <c r="AC15" s="42"/>
    </row>
    <row r="16" spans="1:29">
      <c r="A16" s="42"/>
      <c r="B16" s="42"/>
      <c r="C16" s="42"/>
      <c r="D16" s="42"/>
      <c r="E16" s="42"/>
      <c r="F16" s="42"/>
      <c r="G16" s="42"/>
      <c r="H16" s="42"/>
      <c r="I16" s="42"/>
      <c r="J16" s="42"/>
      <c r="K16" s="42"/>
      <c r="L16" s="42"/>
      <c r="M16" s="42"/>
      <c r="N16" s="42"/>
      <c r="O16" s="42"/>
      <c r="P16" s="42"/>
      <c r="Q16" s="42"/>
      <c r="R16" s="42"/>
      <c r="S16" s="42"/>
      <c r="T16" s="42"/>
      <c r="U16" s="42"/>
      <c r="V16" s="42"/>
      <c r="W16" s="42"/>
      <c r="X16" s="42"/>
      <c r="Y16" s="42"/>
      <c r="Z16" s="42"/>
      <c r="AA16" s="42"/>
      <c r="AB16" s="42"/>
      <c r="AC16" s="42"/>
    </row>
    <row r="17" spans="1:29">
      <c r="A17" s="42"/>
      <c r="B17" s="42"/>
      <c r="C17" s="42"/>
      <c r="D17" s="42"/>
      <c r="E17" s="42"/>
      <c r="F17" s="42"/>
      <c r="G17" s="42"/>
      <c r="H17" s="42"/>
      <c r="I17" s="42"/>
      <c r="J17" s="42"/>
      <c r="K17" s="42"/>
      <c r="L17" s="42"/>
      <c r="M17" s="42"/>
      <c r="N17" s="42"/>
      <c r="O17" s="42"/>
      <c r="P17" s="42"/>
      <c r="Q17" s="42"/>
      <c r="R17" s="42"/>
      <c r="S17" s="42"/>
      <c r="T17" s="42"/>
      <c r="U17" s="42"/>
      <c r="V17" s="42"/>
      <c r="W17" s="42"/>
      <c r="X17" s="42"/>
      <c r="Y17" s="42"/>
      <c r="Z17" s="42"/>
      <c r="AA17" s="42"/>
      <c r="AB17" s="42"/>
      <c r="AC17" s="42"/>
    </row>
    <row r="18" spans="1:29">
      <c r="A18" s="42"/>
      <c r="B18" s="42"/>
      <c r="C18" s="42"/>
      <c r="D18" s="42"/>
      <c r="E18" s="42"/>
      <c r="F18" s="42"/>
      <c r="G18" s="42"/>
      <c r="H18" s="42"/>
      <c r="I18" s="42"/>
      <c r="J18" s="42"/>
      <c r="K18" s="42"/>
      <c r="L18" s="42"/>
      <c r="M18" s="42"/>
      <c r="N18" s="42"/>
      <c r="O18" s="42"/>
      <c r="P18" s="42"/>
      <c r="Q18" s="42"/>
      <c r="R18" s="42"/>
      <c r="S18" s="42"/>
      <c r="T18" s="42"/>
      <c r="U18" s="42"/>
      <c r="V18" s="42"/>
      <c r="W18" s="42"/>
      <c r="X18" s="42"/>
      <c r="Y18" s="42"/>
      <c r="Z18" s="42"/>
      <c r="AA18" s="42"/>
      <c r="AB18" s="42"/>
      <c r="AC18" s="42"/>
    </row>
    <row r="19" spans="1:29">
      <c r="A19" s="42"/>
      <c r="B19" s="42"/>
      <c r="C19" s="42"/>
      <c r="D19" s="42"/>
      <c r="E19" s="42"/>
      <c r="F19" s="42"/>
      <c r="G19" s="42"/>
      <c r="H19" s="42"/>
      <c r="I19" s="42"/>
      <c r="J19" s="42"/>
      <c r="K19" s="42"/>
      <c r="L19" s="42"/>
      <c r="M19" s="42"/>
      <c r="N19" s="42"/>
      <c r="O19" s="42"/>
      <c r="P19" s="42"/>
      <c r="Q19" s="42"/>
      <c r="R19" s="42"/>
      <c r="S19" s="42"/>
      <c r="T19" s="42"/>
      <c r="U19" s="42"/>
      <c r="V19" s="42"/>
      <c r="W19" s="42"/>
      <c r="X19" s="42"/>
      <c r="Y19" s="42"/>
      <c r="Z19" s="42"/>
      <c r="AA19" s="42"/>
      <c r="AB19" s="42"/>
      <c r="AC19" s="42"/>
    </row>
    <row r="20" spans="1:29">
      <c r="A20" s="42"/>
      <c r="B20" s="42"/>
      <c r="C20" s="42"/>
      <c r="D20" s="42"/>
      <c r="E20" s="42"/>
      <c r="F20" s="42"/>
      <c r="G20" s="42"/>
      <c r="H20" s="42"/>
      <c r="I20" s="42"/>
      <c r="J20" s="42"/>
      <c r="K20" s="42"/>
      <c r="L20" s="42"/>
      <c r="M20" s="42"/>
      <c r="N20" s="42"/>
      <c r="O20" s="42"/>
      <c r="P20" s="42"/>
      <c r="Q20" s="42"/>
      <c r="R20" s="42"/>
      <c r="S20" s="42"/>
      <c r="T20" s="42"/>
      <c r="U20" s="42"/>
      <c r="V20" s="42"/>
      <c r="W20" s="42"/>
      <c r="X20" s="42"/>
      <c r="Y20" s="42"/>
      <c r="Z20" s="42"/>
      <c r="AA20" s="42"/>
      <c r="AB20" s="42"/>
      <c r="AC20" s="42"/>
    </row>
    <row r="21" spans="1:29">
      <c r="A21" s="42"/>
      <c r="B21" s="42"/>
      <c r="C21" s="42"/>
      <c r="D21" s="42"/>
      <c r="E21" s="42"/>
      <c r="F21" s="42"/>
      <c r="G21" s="42"/>
      <c r="H21" s="42"/>
      <c r="I21" s="42"/>
      <c r="J21" s="42"/>
      <c r="K21" s="42"/>
      <c r="L21" s="42"/>
      <c r="M21" s="42"/>
      <c r="N21" s="42"/>
      <c r="O21" s="42"/>
      <c r="P21" s="42"/>
      <c r="Q21" s="42"/>
      <c r="R21" s="42"/>
      <c r="S21" s="42"/>
      <c r="T21" s="42"/>
      <c r="U21" s="42"/>
      <c r="V21" s="42"/>
      <c r="W21" s="42"/>
      <c r="X21" s="42"/>
      <c r="Y21" s="42"/>
      <c r="Z21" s="42"/>
      <c r="AA21" s="42"/>
      <c r="AB21" s="42"/>
      <c r="AC21" s="42"/>
    </row>
    <row r="22" spans="1:29">
      <c r="A22" s="42"/>
      <c r="B22" s="42"/>
      <c r="C22" s="42"/>
      <c r="D22" s="42"/>
      <c r="E22" s="42"/>
      <c r="F22" s="42"/>
      <c r="G22" s="42"/>
      <c r="H22" s="42"/>
      <c r="I22" s="42"/>
      <c r="J22" s="42"/>
      <c r="K22" s="42"/>
      <c r="L22" s="42"/>
      <c r="M22" s="42"/>
      <c r="N22" s="42"/>
      <c r="O22" s="42"/>
      <c r="P22" s="42"/>
      <c r="Q22" s="42"/>
      <c r="R22" s="42"/>
      <c r="S22" s="42"/>
      <c r="T22" s="42"/>
      <c r="U22" s="42"/>
      <c r="V22" s="42"/>
      <c r="W22" s="42"/>
      <c r="X22" s="42"/>
      <c r="Y22" s="42"/>
      <c r="Z22" s="42"/>
      <c r="AA22" s="42"/>
      <c r="AB22" s="42"/>
      <c r="AC22" s="42"/>
    </row>
    <row r="23" spans="1:29">
      <c r="A23" s="42"/>
      <c r="B23" s="42"/>
      <c r="C23" s="42"/>
      <c r="D23" s="42"/>
      <c r="E23" s="42"/>
      <c r="F23" s="42"/>
      <c r="G23" s="42"/>
      <c r="H23" s="42"/>
      <c r="I23" s="42"/>
      <c r="J23" s="42"/>
      <c r="K23" s="42"/>
      <c r="L23" s="42"/>
      <c r="M23" s="42"/>
      <c r="N23" s="42"/>
      <c r="O23" s="42"/>
      <c r="P23" s="42"/>
      <c r="Q23" s="42"/>
      <c r="R23" s="42"/>
      <c r="S23" s="42"/>
      <c r="T23" s="42"/>
      <c r="U23" s="42"/>
      <c r="V23" s="42"/>
      <c r="W23" s="42"/>
      <c r="X23" s="42"/>
      <c r="Y23" s="42"/>
      <c r="Z23" s="42"/>
      <c r="AA23" s="42"/>
      <c r="AB23" s="42"/>
      <c r="AC23" s="42"/>
    </row>
    <row r="24" spans="1:29">
      <c r="A24" s="42"/>
      <c r="B24" s="42"/>
      <c r="C24" s="42"/>
      <c r="D24" s="42"/>
      <c r="E24" s="42"/>
      <c r="F24" s="42"/>
      <c r="G24" s="42"/>
      <c r="H24" s="42"/>
      <c r="I24" s="42"/>
      <c r="J24" s="42"/>
      <c r="K24" s="42"/>
      <c r="L24" s="42"/>
      <c r="M24" s="42"/>
      <c r="N24" s="42"/>
      <c r="O24" s="42"/>
      <c r="P24" s="42"/>
      <c r="Q24" s="42"/>
      <c r="R24" s="42"/>
      <c r="S24" s="42"/>
      <c r="T24" s="42"/>
      <c r="U24" s="42"/>
      <c r="V24" s="42"/>
      <c r="W24" s="42"/>
      <c r="X24" s="42"/>
      <c r="Y24" s="42"/>
      <c r="Z24" s="42"/>
      <c r="AA24" s="42"/>
      <c r="AB24" s="42"/>
      <c r="AC24" s="42"/>
    </row>
    <row r="25" spans="1:29">
      <c r="A25" s="42"/>
      <c r="B25" s="42"/>
      <c r="C25" s="42"/>
      <c r="D25" s="42"/>
      <c r="E25" s="42"/>
      <c r="F25" s="42"/>
      <c r="G25" s="42"/>
      <c r="H25" s="42"/>
      <c r="I25" s="42"/>
      <c r="J25" s="42"/>
      <c r="K25" s="42"/>
      <c r="L25" s="42"/>
      <c r="M25" s="42"/>
      <c r="N25" s="42"/>
      <c r="O25" s="42"/>
      <c r="P25" s="42"/>
      <c r="Q25" s="42"/>
      <c r="R25" s="42"/>
      <c r="S25" s="42"/>
      <c r="T25" s="42"/>
      <c r="U25" s="42"/>
      <c r="V25" s="42"/>
      <c r="W25" s="42"/>
      <c r="X25" s="42"/>
      <c r="Y25" s="42"/>
      <c r="Z25" s="42"/>
      <c r="AA25" s="42"/>
      <c r="AB25" s="42"/>
      <c r="AC25" s="42"/>
    </row>
    <row r="26" spans="1:29">
      <c r="A26" s="42"/>
      <c r="B26" s="42"/>
      <c r="C26" s="42"/>
      <c r="D26" s="42"/>
      <c r="E26" s="42"/>
      <c r="F26" s="42"/>
      <c r="G26" s="42"/>
      <c r="H26" s="42"/>
      <c r="I26" s="42"/>
      <c r="J26" s="42"/>
      <c r="K26" s="42"/>
      <c r="L26" s="42"/>
      <c r="M26" s="42"/>
      <c r="N26" s="42"/>
      <c r="O26" s="42"/>
      <c r="P26" s="42"/>
      <c r="Q26" s="42"/>
      <c r="R26" s="42"/>
      <c r="S26" s="42"/>
      <c r="T26" s="42"/>
      <c r="U26" s="42"/>
      <c r="V26" s="42"/>
      <c r="W26" s="42"/>
      <c r="X26" s="42"/>
      <c r="Y26" s="42"/>
      <c r="Z26" s="42"/>
      <c r="AA26" s="42"/>
      <c r="AB26" s="42"/>
      <c r="AC26" s="42"/>
    </row>
    <row r="27" spans="1:29">
      <c r="A27" s="42"/>
      <c r="B27" s="42"/>
      <c r="C27" s="42"/>
      <c r="D27" s="42"/>
      <c r="E27" s="42"/>
      <c r="F27" s="42"/>
      <c r="G27" s="42"/>
      <c r="H27" s="42"/>
      <c r="I27" s="42"/>
      <c r="J27" s="42"/>
      <c r="K27" s="42"/>
      <c r="L27" s="42"/>
      <c r="M27" s="42"/>
      <c r="N27" s="42"/>
      <c r="O27" s="42"/>
      <c r="P27" s="42"/>
      <c r="Q27" s="42"/>
      <c r="R27" s="42"/>
      <c r="S27" s="42"/>
      <c r="T27" s="42"/>
      <c r="U27" s="42"/>
      <c r="V27" s="42"/>
      <c r="W27" s="42"/>
      <c r="X27" s="42"/>
      <c r="Y27" s="42"/>
      <c r="Z27" s="42"/>
      <c r="AA27" s="42"/>
      <c r="AB27" s="42"/>
      <c r="AC27" s="42"/>
    </row>
    <row r="28" spans="1:29">
      <c r="A28" s="42"/>
      <c r="B28" s="42"/>
      <c r="C28" s="42"/>
      <c r="D28" s="42"/>
      <c r="E28" s="42"/>
      <c r="F28" s="42"/>
      <c r="G28" s="42"/>
      <c r="H28" s="42"/>
      <c r="I28" s="42"/>
      <c r="J28" s="42"/>
      <c r="K28" s="42"/>
      <c r="L28" s="42"/>
      <c r="M28" s="42"/>
      <c r="N28" s="42"/>
      <c r="O28" s="42"/>
      <c r="P28" s="42"/>
      <c r="Q28" s="42"/>
      <c r="R28" s="42"/>
      <c r="S28" s="42"/>
      <c r="T28" s="42"/>
      <c r="U28" s="42"/>
      <c r="V28" s="42"/>
      <c r="W28" s="42"/>
      <c r="X28" s="42"/>
      <c r="Y28" s="42"/>
      <c r="Z28" s="42"/>
      <c r="AA28" s="42"/>
      <c r="AB28" s="42"/>
      <c r="AC28" s="42"/>
    </row>
    <row r="29" spans="1:29">
      <c r="A29" s="42"/>
      <c r="B29" s="42"/>
      <c r="C29" s="42"/>
      <c r="D29" s="42"/>
      <c r="E29" s="42"/>
      <c r="F29" s="42"/>
      <c r="G29" s="42"/>
      <c r="H29" s="42"/>
      <c r="I29" s="42"/>
      <c r="J29" s="42"/>
      <c r="K29" s="42"/>
      <c r="L29" s="42"/>
      <c r="M29" s="42"/>
      <c r="N29" s="42"/>
      <c r="O29" s="42"/>
      <c r="P29" s="42"/>
      <c r="Q29" s="42"/>
      <c r="R29" s="42"/>
      <c r="S29" s="42"/>
      <c r="T29" s="42"/>
      <c r="U29" s="42"/>
      <c r="V29" s="42"/>
      <c r="W29" s="42"/>
      <c r="X29" s="42"/>
      <c r="Y29" s="42"/>
      <c r="Z29" s="42"/>
      <c r="AA29" s="42"/>
      <c r="AB29" s="42"/>
      <c r="AC29" s="42"/>
    </row>
    <row r="30" spans="1:29">
      <c r="A30" s="42"/>
      <c r="B30" s="42"/>
      <c r="C30" s="42"/>
      <c r="D30" s="42"/>
      <c r="E30" s="42"/>
      <c r="F30" s="42"/>
      <c r="G30" s="42"/>
      <c r="H30" s="42"/>
      <c r="I30" s="42"/>
      <c r="J30" s="42"/>
      <c r="K30" s="42"/>
      <c r="L30" s="42"/>
      <c r="M30" s="42"/>
      <c r="N30" s="42"/>
      <c r="O30" s="42"/>
      <c r="P30" s="42"/>
      <c r="Q30" s="42"/>
      <c r="R30" s="42"/>
      <c r="S30" s="42"/>
      <c r="T30" s="42"/>
      <c r="U30" s="42"/>
      <c r="V30" s="42"/>
      <c r="W30" s="42"/>
      <c r="X30" s="42"/>
      <c r="Y30" s="42"/>
      <c r="Z30" s="42"/>
      <c r="AA30" s="42"/>
      <c r="AB30" s="42"/>
      <c r="AC30" s="42"/>
    </row>
    <row r="31" spans="1:29">
      <c r="A31" s="42"/>
      <c r="B31" s="42"/>
      <c r="C31" s="42"/>
      <c r="D31" s="42"/>
      <c r="E31" s="42"/>
      <c r="F31" s="42"/>
      <c r="G31" s="42"/>
      <c r="H31" s="42"/>
      <c r="I31" s="42"/>
      <c r="J31" s="42"/>
      <c r="K31" s="42"/>
      <c r="L31" s="42"/>
      <c r="M31" s="42"/>
      <c r="N31" s="42"/>
      <c r="O31" s="42"/>
      <c r="P31" s="42"/>
      <c r="Q31" s="42"/>
      <c r="R31" s="42"/>
      <c r="S31" s="42"/>
      <c r="T31" s="42"/>
      <c r="U31" s="42"/>
      <c r="V31" s="42"/>
      <c r="W31" s="42"/>
      <c r="X31" s="42"/>
      <c r="Y31" s="42"/>
      <c r="Z31" s="42"/>
      <c r="AA31" s="42"/>
      <c r="AB31" s="42"/>
      <c r="AC31" s="42"/>
    </row>
    <row r="32" spans="1:29">
      <c r="A32" s="42"/>
      <c r="B32" s="42"/>
      <c r="C32" s="42"/>
      <c r="D32" s="42"/>
      <c r="E32" s="42"/>
      <c r="F32" s="42"/>
      <c r="G32" s="42"/>
      <c r="H32" s="42"/>
      <c r="I32" s="42"/>
      <c r="J32" s="42"/>
      <c r="K32" s="42"/>
      <c r="L32" s="42"/>
      <c r="M32" s="42"/>
      <c r="N32" s="42"/>
      <c r="O32" s="42"/>
      <c r="P32" s="42"/>
      <c r="Q32" s="42"/>
      <c r="R32" s="42"/>
      <c r="S32" s="42"/>
      <c r="T32" s="42"/>
      <c r="U32" s="42"/>
      <c r="V32" s="42"/>
      <c r="W32" s="42"/>
      <c r="X32" s="42"/>
      <c r="Y32" s="42"/>
      <c r="Z32" s="42"/>
      <c r="AA32" s="42"/>
      <c r="AB32" s="42"/>
      <c r="AC32" s="42"/>
    </row>
    <row r="33" spans="1:29">
      <c r="A33" s="42"/>
      <c r="B33" s="42"/>
      <c r="C33" s="42"/>
      <c r="D33" s="42"/>
      <c r="E33" s="42"/>
      <c r="F33" s="42"/>
      <c r="G33" s="42"/>
      <c r="H33" s="42"/>
      <c r="I33" s="42"/>
      <c r="J33" s="42"/>
      <c r="K33" s="42"/>
      <c r="L33" s="42"/>
      <c r="M33" s="42"/>
      <c r="N33" s="42"/>
      <c r="O33" s="42"/>
      <c r="P33" s="42"/>
      <c r="Q33" s="42"/>
      <c r="R33" s="42"/>
      <c r="S33" s="42"/>
      <c r="T33" s="42"/>
      <c r="U33" s="42"/>
      <c r="V33" s="42"/>
      <c r="W33" s="42"/>
      <c r="X33" s="42"/>
      <c r="Y33" s="42"/>
      <c r="Z33" s="42"/>
      <c r="AA33" s="42"/>
      <c r="AB33" s="42"/>
      <c r="AC33" s="42"/>
    </row>
    <row r="34" spans="1:29">
      <c r="A34" s="42"/>
      <c r="B34" s="42"/>
      <c r="C34" s="42"/>
      <c r="D34" s="42"/>
      <c r="E34" s="42"/>
      <c r="F34" s="42"/>
      <c r="G34" s="42"/>
      <c r="H34" s="42"/>
      <c r="I34" s="42"/>
      <c r="J34" s="42"/>
      <c r="K34" s="42"/>
      <c r="L34" s="42"/>
      <c r="M34" s="42"/>
      <c r="N34" s="42"/>
      <c r="O34" s="42"/>
      <c r="P34" s="42"/>
      <c r="Q34" s="42"/>
      <c r="R34" s="42"/>
      <c r="S34" s="42"/>
      <c r="T34" s="42"/>
      <c r="U34" s="42"/>
      <c r="V34" s="42"/>
      <c r="W34" s="42"/>
      <c r="X34" s="42"/>
      <c r="Y34" s="42"/>
      <c r="Z34" s="42"/>
      <c r="AA34" s="42"/>
      <c r="AB34" s="42"/>
      <c r="AC34" s="42"/>
    </row>
    <row r="35" spans="1:29">
      <c r="A35" s="42"/>
      <c r="B35" s="42"/>
      <c r="C35" s="42"/>
      <c r="D35" s="42"/>
      <c r="E35" s="42"/>
      <c r="F35" s="42"/>
      <c r="G35" s="42"/>
      <c r="H35" s="42"/>
      <c r="I35" s="42"/>
      <c r="J35" s="42"/>
      <c r="K35" s="42"/>
      <c r="L35" s="42"/>
      <c r="M35" s="42"/>
      <c r="N35" s="42"/>
      <c r="O35" s="42"/>
      <c r="P35" s="42"/>
      <c r="Q35" s="42"/>
      <c r="R35" s="42"/>
      <c r="S35" s="42"/>
      <c r="T35" s="42"/>
      <c r="U35" s="42"/>
      <c r="V35" s="42"/>
      <c r="W35" s="42"/>
      <c r="X35" s="42"/>
      <c r="Y35" s="42"/>
      <c r="Z35" s="42"/>
      <c r="AA35" s="42"/>
      <c r="AB35" s="42"/>
      <c r="AC35" s="42"/>
    </row>
    <row r="36" spans="1:29">
      <c r="A36" s="42"/>
      <c r="B36" s="42"/>
      <c r="C36" s="42"/>
      <c r="D36" s="42"/>
      <c r="E36" s="42"/>
      <c r="F36" s="42"/>
      <c r="G36" s="42"/>
      <c r="H36" s="42"/>
      <c r="I36" s="42"/>
      <c r="J36" s="42"/>
      <c r="K36" s="42"/>
      <c r="L36" s="42"/>
      <c r="M36" s="42"/>
      <c r="N36" s="42"/>
      <c r="O36" s="42"/>
      <c r="P36" s="42"/>
      <c r="Q36" s="42"/>
      <c r="R36" s="42"/>
      <c r="S36" s="42"/>
      <c r="T36" s="42"/>
      <c r="U36" s="42"/>
      <c r="V36" s="42"/>
      <c r="W36" s="42"/>
      <c r="X36" s="42"/>
      <c r="Y36" s="42"/>
      <c r="Z36" s="42"/>
      <c r="AA36" s="42"/>
      <c r="AB36" s="42"/>
      <c r="AC36" s="42"/>
    </row>
    <row r="37" spans="1:29">
      <c r="A37" s="42"/>
      <c r="B37" s="42"/>
      <c r="C37" s="42"/>
      <c r="D37" s="42"/>
      <c r="E37" s="42"/>
      <c r="F37" s="42"/>
      <c r="G37" s="42"/>
      <c r="H37" s="42"/>
      <c r="I37" s="42"/>
      <c r="J37" s="42"/>
      <c r="K37" s="42"/>
      <c r="L37" s="42"/>
      <c r="M37" s="42"/>
      <c r="N37" s="42"/>
      <c r="O37" s="42"/>
      <c r="P37" s="42"/>
      <c r="Q37" s="42"/>
      <c r="R37" s="42"/>
      <c r="S37" s="42"/>
      <c r="T37" s="42"/>
      <c r="U37" s="42"/>
      <c r="V37" s="42"/>
      <c r="W37" s="42"/>
      <c r="X37" s="42"/>
      <c r="Y37" s="42"/>
      <c r="Z37" s="42"/>
      <c r="AA37" s="42"/>
      <c r="AB37" s="42"/>
      <c r="AC37" s="42"/>
    </row>
    <row r="38" spans="1:29">
      <c r="A38" s="42"/>
      <c r="B38" s="42"/>
      <c r="C38" s="42"/>
      <c r="D38" s="42"/>
      <c r="E38" s="42"/>
      <c r="F38" s="42"/>
      <c r="G38" s="42"/>
      <c r="H38" s="42"/>
      <c r="I38" s="42"/>
      <c r="J38" s="42"/>
      <c r="K38" s="42"/>
      <c r="L38" s="42"/>
      <c r="M38" s="42"/>
      <c r="N38" s="42"/>
      <c r="O38" s="42"/>
      <c r="P38" s="42"/>
      <c r="Q38" s="42"/>
      <c r="R38" s="42"/>
      <c r="S38" s="42"/>
      <c r="T38" s="42"/>
      <c r="U38" s="42"/>
      <c r="V38" s="42"/>
      <c r="W38" s="42"/>
      <c r="X38" s="42"/>
      <c r="Y38" s="42"/>
      <c r="Z38" s="42"/>
      <c r="AA38" s="42"/>
      <c r="AB38" s="42"/>
      <c r="AC38" s="42"/>
    </row>
    <row r="39" spans="1:29">
      <c r="A39" s="42"/>
      <c r="B39" s="42"/>
      <c r="C39" s="42"/>
      <c r="D39" s="42"/>
      <c r="E39" s="42"/>
      <c r="F39" s="42"/>
      <c r="G39" s="42"/>
      <c r="H39" s="42"/>
      <c r="I39" s="42"/>
      <c r="J39" s="42"/>
      <c r="K39" s="42"/>
      <c r="L39" s="42"/>
      <c r="M39" s="42"/>
      <c r="N39" s="42"/>
      <c r="O39" s="42"/>
      <c r="P39" s="42"/>
      <c r="Q39" s="42"/>
      <c r="R39" s="42"/>
      <c r="S39" s="42"/>
      <c r="T39" s="42"/>
      <c r="U39" s="42"/>
      <c r="V39" s="42"/>
      <c r="W39" s="42"/>
      <c r="X39" s="42"/>
      <c r="Y39" s="42"/>
      <c r="Z39" s="42"/>
      <c r="AA39" s="42"/>
      <c r="AB39" s="42"/>
      <c r="AC39" s="42"/>
    </row>
    <row r="40" spans="1:29">
      <c r="A40" s="42"/>
      <c r="B40" s="42"/>
      <c r="C40" s="42"/>
      <c r="D40" s="42"/>
      <c r="E40" s="42"/>
      <c r="F40" s="42"/>
      <c r="G40" s="42"/>
      <c r="H40" s="42"/>
      <c r="I40" s="42"/>
      <c r="J40" s="42"/>
      <c r="K40" s="42"/>
      <c r="L40" s="42"/>
      <c r="M40" s="42"/>
      <c r="N40" s="42"/>
      <c r="O40" s="42"/>
      <c r="P40" s="42"/>
      <c r="Q40" s="42"/>
      <c r="R40" s="42"/>
      <c r="S40" s="42"/>
      <c r="T40" s="42"/>
      <c r="U40" s="42"/>
      <c r="V40" s="42"/>
      <c r="W40" s="42"/>
      <c r="X40" s="42"/>
      <c r="Y40" s="42"/>
      <c r="Z40" s="42"/>
      <c r="AA40" s="42"/>
      <c r="AB40" s="42"/>
      <c r="AC40" s="42"/>
    </row>
    <row r="41" spans="1:29">
      <c r="A41" s="42"/>
      <c r="B41" s="42"/>
      <c r="C41" s="42"/>
      <c r="D41" s="42"/>
      <c r="E41" s="42"/>
      <c r="F41" s="42"/>
      <c r="G41" s="42"/>
      <c r="H41" s="42"/>
      <c r="I41" s="42"/>
      <c r="J41" s="42"/>
      <c r="K41" s="42"/>
      <c r="L41" s="42"/>
      <c r="M41" s="42"/>
      <c r="N41" s="42"/>
      <c r="O41" s="42"/>
      <c r="P41" s="42"/>
      <c r="Q41" s="42"/>
      <c r="R41" s="42"/>
      <c r="S41" s="42"/>
      <c r="T41" s="42"/>
      <c r="U41" s="42"/>
      <c r="V41" s="42"/>
      <c r="W41" s="42"/>
      <c r="X41" s="42"/>
      <c r="Y41" s="42"/>
      <c r="Z41" s="42"/>
      <c r="AA41" s="42"/>
      <c r="AB41" s="42"/>
      <c r="AC41" s="42"/>
    </row>
  </sheetData>
  <mergeCells count="2">
    <mergeCell ref="A1:E1"/>
    <mergeCell ref="A2:AC41"/>
  </mergeCell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4D3115-E075-4745-8F0D-08D50D418B5F}">
  <dimension ref="A1:AAM50"/>
  <sheetViews>
    <sheetView tabSelected="1" workbookViewId="0">
      <selection activeCell="C11" sqref="C11"/>
    </sheetView>
  </sheetViews>
  <sheetFormatPr defaultRowHeight="15"/>
  <cols>
    <col min="1" max="1" width="22.7109375" customWidth="1"/>
    <col min="2" max="2" width="33.42578125" style="2" customWidth="1"/>
    <col min="3" max="3" width="22.28515625" customWidth="1"/>
    <col min="4" max="4" width="10.140625" bestFit="1" customWidth="1"/>
    <col min="5" max="5" width="10.42578125" customWidth="1"/>
    <col min="6" max="6" width="18" bestFit="1" customWidth="1"/>
    <col min="7" max="7" width="24.28515625" customWidth="1"/>
    <col min="8" max="8" width="19.7109375" bestFit="1" customWidth="1"/>
    <col min="9" max="9" width="21.140625" customWidth="1"/>
    <col min="10" max="10" width="21.7109375" bestFit="1" customWidth="1"/>
    <col min="11" max="11" width="19.7109375" bestFit="1" customWidth="1"/>
    <col min="12" max="12" width="20.140625" bestFit="1" customWidth="1"/>
    <col min="13" max="13" width="21.7109375" bestFit="1" customWidth="1"/>
    <col min="14" max="14" width="19.7109375" bestFit="1" customWidth="1"/>
    <col min="15" max="15" width="12.7109375" bestFit="1" customWidth="1"/>
    <col min="16" max="16" width="21.7109375" bestFit="1" customWidth="1"/>
    <col min="17" max="17" width="19.7109375" bestFit="1" customWidth="1"/>
    <col min="18" max="18" width="12.7109375" bestFit="1" customWidth="1"/>
    <col min="19" max="19" width="21.7109375" bestFit="1" customWidth="1"/>
    <col min="20" max="20" width="19.7109375" bestFit="1" customWidth="1"/>
    <col min="21" max="21" width="12.7109375" bestFit="1" customWidth="1"/>
    <col min="22" max="22" width="21.7109375" bestFit="1" customWidth="1"/>
    <col min="23" max="23" width="19.7109375" bestFit="1" customWidth="1"/>
    <col min="24" max="24" width="12.7109375" bestFit="1" customWidth="1"/>
    <col min="25" max="25" width="36.5703125" bestFit="1" customWidth="1"/>
  </cols>
  <sheetData>
    <row r="1" spans="1:715" s="19" customFormat="1" ht="29.25" customHeight="1">
      <c r="A1" s="36" t="s">
        <v>5</v>
      </c>
      <c r="B1" s="37" t="s">
        <v>6</v>
      </c>
      <c r="C1" s="36" t="s">
        <v>7</v>
      </c>
      <c r="D1" s="37" t="s">
        <v>8</v>
      </c>
      <c r="E1" s="37" t="s">
        <v>9</v>
      </c>
      <c r="F1" s="35" t="s">
        <v>10</v>
      </c>
      <c r="G1" s="35" t="s">
        <v>11</v>
      </c>
      <c r="H1" s="35"/>
      <c r="I1" s="35"/>
      <c r="J1" s="35" t="s">
        <v>12</v>
      </c>
      <c r="K1" s="35"/>
      <c r="L1" s="35"/>
      <c r="M1" s="35" t="s">
        <v>13</v>
      </c>
      <c r="N1" s="35"/>
      <c r="O1" s="35"/>
      <c r="P1" s="35" t="s">
        <v>14</v>
      </c>
      <c r="Q1" s="35"/>
      <c r="R1" s="35"/>
      <c r="S1" s="35" t="s">
        <v>15</v>
      </c>
      <c r="T1" s="35"/>
      <c r="U1" s="35"/>
      <c r="V1" s="35" t="s">
        <v>16</v>
      </c>
      <c r="W1" s="35"/>
      <c r="X1" s="35"/>
      <c r="Y1" s="36" t="s">
        <v>17</v>
      </c>
    </row>
    <row r="2" spans="1:715" s="14" customFormat="1" ht="21.75" customHeight="1">
      <c r="A2" s="36"/>
      <c r="B2" s="37"/>
      <c r="C2" s="36"/>
      <c r="D2" s="37"/>
      <c r="E2" s="37"/>
      <c r="F2" s="35"/>
      <c r="G2" s="12" t="s">
        <v>18</v>
      </c>
      <c r="H2" s="12" t="s">
        <v>19</v>
      </c>
      <c r="I2" s="18" t="s">
        <v>20</v>
      </c>
      <c r="J2" s="13" t="s">
        <v>21</v>
      </c>
      <c r="K2" s="13" t="s">
        <v>19</v>
      </c>
      <c r="L2" s="13" t="s">
        <v>20</v>
      </c>
      <c r="M2" s="12" t="s">
        <v>21</v>
      </c>
      <c r="N2" s="12" t="s">
        <v>19</v>
      </c>
      <c r="O2" s="12" t="s">
        <v>20</v>
      </c>
      <c r="P2" s="12" t="s">
        <v>21</v>
      </c>
      <c r="Q2" s="12" t="s">
        <v>19</v>
      </c>
      <c r="R2" s="12" t="s">
        <v>20</v>
      </c>
      <c r="S2" s="12" t="s">
        <v>21</v>
      </c>
      <c r="T2" s="12" t="s">
        <v>19</v>
      </c>
      <c r="U2" s="12" t="s">
        <v>20</v>
      </c>
      <c r="V2" s="12" t="s">
        <v>21</v>
      </c>
      <c r="W2" s="12" t="s">
        <v>19</v>
      </c>
      <c r="X2" s="12" t="s">
        <v>20</v>
      </c>
      <c r="Y2" s="39"/>
    </row>
    <row r="3" spans="1:715" ht="29.25">
      <c r="A3" s="2" t="s">
        <v>22</v>
      </c>
      <c r="B3" s="20" t="s">
        <v>23</v>
      </c>
      <c r="C3" t="s">
        <v>24</v>
      </c>
      <c r="D3" t="s">
        <v>25</v>
      </c>
      <c r="E3" s="20" t="s">
        <v>26</v>
      </c>
      <c r="F3" cm="1">
        <f t="array" ref="F3">_xlfn.SWITCH(D3, "LOW", 3, "MEDIUM", 6, "HIGH", 9) * _xlfn.SWITCH(E3, "LOW", 3, "MEDIUM", 6, "HIGH", 9)</f>
        <v>54</v>
      </c>
      <c r="G3" s="5">
        <v>0.6</v>
      </c>
      <c r="H3" s="5">
        <v>0.4</v>
      </c>
      <c r="I3">
        <f t="shared" ref="I3:I8" si="0">F3*(1-G3)*(1-H3)</f>
        <v>12.96</v>
      </c>
      <c r="J3" s="5">
        <v>0.6</v>
      </c>
      <c r="K3" s="5">
        <v>0.4</v>
      </c>
      <c r="L3">
        <f t="shared" ref="L3:L8" si="1">F3*(1-J3)*(1-K3)</f>
        <v>12.96</v>
      </c>
      <c r="M3" s="5">
        <v>0.7</v>
      </c>
      <c r="N3" s="5">
        <v>0.5</v>
      </c>
      <c r="O3">
        <f t="shared" ref="O3:O8" si="2">F3*(1-M3)*(1-N3)</f>
        <v>8.1000000000000014</v>
      </c>
      <c r="P3" s="5">
        <v>0.5</v>
      </c>
      <c r="Q3" s="5">
        <v>0.6</v>
      </c>
      <c r="R3">
        <f t="shared" ref="R3:R8" si="3">F3*(1-P3)*(1-Q3)</f>
        <v>10.8</v>
      </c>
      <c r="S3" s="5">
        <v>0.4</v>
      </c>
      <c r="T3" s="5">
        <v>0.5</v>
      </c>
      <c r="U3">
        <f t="shared" ref="U3:U8" si="4">F3*(1-S3)*(1-T3)</f>
        <v>16.2</v>
      </c>
      <c r="V3" s="5">
        <v>0.5</v>
      </c>
      <c r="W3" s="5">
        <v>0.7</v>
      </c>
      <c r="X3">
        <f t="shared" ref="X3:X8" si="5">F3*(1-V3)*(1-W3)</f>
        <v>8.1000000000000014</v>
      </c>
    </row>
    <row r="4" spans="1:715" ht="43.5">
      <c r="A4" s="2" t="s">
        <v>27</v>
      </c>
      <c r="B4" s="20" t="s">
        <v>28</v>
      </c>
      <c r="C4" s="3" t="s">
        <v>29</v>
      </c>
      <c r="D4" t="s">
        <v>26</v>
      </c>
      <c r="E4" s="20" t="s">
        <v>25</v>
      </c>
      <c r="F4" cm="1">
        <f t="array" ref="F4">_xlfn.SWITCH(D4, "LOW", 3, "MEDIUM", 6, "HIGH", 9) * _xlfn.SWITCH(E4, "LOW", 3, "MEDIUM", 6, "HIGH", 9)</f>
        <v>54</v>
      </c>
      <c r="G4" s="5">
        <v>0.1</v>
      </c>
      <c r="H4" s="5">
        <v>0.2</v>
      </c>
      <c r="I4">
        <f t="shared" si="0"/>
        <v>38.880000000000003</v>
      </c>
      <c r="J4" s="5">
        <v>0.75</v>
      </c>
      <c r="K4" s="5">
        <v>0.5</v>
      </c>
      <c r="L4">
        <f t="shared" si="1"/>
        <v>6.75</v>
      </c>
      <c r="M4" s="5">
        <v>0.3</v>
      </c>
      <c r="N4" s="5">
        <v>0.2</v>
      </c>
      <c r="O4">
        <f t="shared" si="2"/>
        <v>30.24</v>
      </c>
      <c r="P4" s="5">
        <v>0.4</v>
      </c>
      <c r="Q4" s="5">
        <v>0.35</v>
      </c>
      <c r="R4">
        <f t="shared" si="3"/>
        <v>21.06</v>
      </c>
      <c r="S4" s="5">
        <v>0.25</v>
      </c>
      <c r="T4" s="5">
        <v>0.2</v>
      </c>
      <c r="U4">
        <f t="shared" si="4"/>
        <v>32.4</v>
      </c>
      <c r="V4" s="5">
        <v>0.4</v>
      </c>
      <c r="W4" s="5">
        <v>0.35</v>
      </c>
      <c r="X4">
        <f t="shared" si="5"/>
        <v>21.06</v>
      </c>
    </row>
    <row r="5" spans="1:715" ht="45">
      <c r="A5" s="2" t="s">
        <v>30</v>
      </c>
      <c r="B5" s="20" t="s">
        <v>31</v>
      </c>
      <c r="C5" t="s">
        <v>32</v>
      </c>
      <c r="D5" t="s">
        <v>33</v>
      </c>
      <c r="E5" t="s">
        <v>25</v>
      </c>
      <c r="F5" cm="1">
        <f t="array" ref="F5">_xlfn.SWITCH(D5, "LOW", 3, "MEDIUM", 6, "HIGH", 9) * _xlfn.SWITCH(E5, "LOW", 3, "MEDIUM", 6, "HIGH", 9)</f>
        <v>18</v>
      </c>
      <c r="G5" s="5">
        <v>0.3</v>
      </c>
      <c r="H5" s="5">
        <v>0.35</v>
      </c>
      <c r="I5">
        <f t="shared" si="0"/>
        <v>8.19</v>
      </c>
      <c r="J5" s="5">
        <v>0.5</v>
      </c>
      <c r="K5" s="5">
        <v>0.3</v>
      </c>
      <c r="L5">
        <f t="shared" si="1"/>
        <v>6.3</v>
      </c>
      <c r="M5" s="5">
        <v>0.8</v>
      </c>
      <c r="N5" s="5">
        <v>0.6</v>
      </c>
      <c r="O5">
        <f t="shared" si="2"/>
        <v>1.4399999999999997</v>
      </c>
      <c r="P5" s="5">
        <v>0.4</v>
      </c>
      <c r="Q5" s="5">
        <v>0.5</v>
      </c>
      <c r="R5">
        <f t="shared" si="3"/>
        <v>5.3999999999999995</v>
      </c>
      <c r="S5" s="5">
        <v>0.3</v>
      </c>
      <c r="T5" s="5">
        <v>0.3</v>
      </c>
      <c r="U5">
        <f t="shared" si="4"/>
        <v>8.8199999999999985</v>
      </c>
      <c r="V5" s="5">
        <v>0.5</v>
      </c>
      <c r="W5" s="5">
        <v>0.6</v>
      </c>
      <c r="X5">
        <f t="shared" si="5"/>
        <v>3.6</v>
      </c>
    </row>
    <row r="6" spans="1:715" ht="30">
      <c r="A6" s="2" t="s">
        <v>34</v>
      </c>
      <c r="B6" s="20" t="s">
        <v>35</v>
      </c>
      <c r="C6" t="s">
        <v>29</v>
      </c>
      <c r="D6" t="s">
        <v>33</v>
      </c>
      <c r="E6" t="s">
        <v>25</v>
      </c>
      <c r="F6" cm="1">
        <f t="array" ref="F6">_xlfn.SWITCH(D6, "LOW", 3, "MEDIUM", 6, "HIGH", 9) * _xlfn.SWITCH(E6, "LOW", 3, "MEDIUM", 6, "HIGH", 9)</f>
        <v>18</v>
      </c>
      <c r="G6" s="5">
        <v>0.5</v>
      </c>
      <c r="H6" s="5">
        <v>0.6</v>
      </c>
      <c r="I6">
        <f t="shared" si="0"/>
        <v>3.6</v>
      </c>
      <c r="J6" s="5">
        <v>0.5</v>
      </c>
      <c r="K6" s="5">
        <v>0.3</v>
      </c>
      <c r="L6">
        <f t="shared" si="1"/>
        <v>6.3</v>
      </c>
      <c r="M6" s="5">
        <v>0.4</v>
      </c>
      <c r="N6" s="5">
        <v>0.35</v>
      </c>
      <c r="O6">
        <f t="shared" si="2"/>
        <v>7.02</v>
      </c>
      <c r="P6" s="5">
        <v>0.85</v>
      </c>
      <c r="Q6" s="5">
        <v>0.7</v>
      </c>
      <c r="R6">
        <f t="shared" si="3"/>
        <v>0.81000000000000016</v>
      </c>
      <c r="S6" s="5">
        <v>0.4</v>
      </c>
      <c r="T6" s="5">
        <v>0.4</v>
      </c>
      <c r="U6">
        <f t="shared" si="4"/>
        <v>6.4799999999999995</v>
      </c>
      <c r="V6" s="5">
        <v>0.8</v>
      </c>
      <c r="W6" s="5">
        <v>0.75</v>
      </c>
      <c r="X6">
        <f t="shared" si="5"/>
        <v>0.8999999999999998</v>
      </c>
    </row>
    <row r="7" spans="1:715" ht="30">
      <c r="A7" s="4" t="s">
        <v>36</v>
      </c>
      <c r="B7" s="20" t="s">
        <v>37</v>
      </c>
      <c r="C7" t="s">
        <v>38</v>
      </c>
      <c r="D7" t="s">
        <v>33</v>
      </c>
      <c r="E7" t="s">
        <v>33</v>
      </c>
      <c r="F7" cm="1">
        <f t="array" ref="F7">_xlfn.SWITCH(D7, "LOW", 3, "MEDIUM", 6, "HIGH", 9) * _xlfn.SWITCH(E7, "LOW", 3, "MEDIUM", 6, "HIGH", 9)</f>
        <v>9</v>
      </c>
      <c r="G7" s="5">
        <v>0.3</v>
      </c>
      <c r="H7" s="5">
        <v>0.4</v>
      </c>
      <c r="I7">
        <f t="shared" si="0"/>
        <v>3.78</v>
      </c>
      <c r="J7" s="5">
        <v>0.3</v>
      </c>
      <c r="K7" s="5">
        <v>0.2</v>
      </c>
      <c r="L7">
        <f t="shared" si="1"/>
        <v>5.04</v>
      </c>
      <c r="M7" s="5">
        <v>0.5</v>
      </c>
      <c r="N7" s="5">
        <v>0.4</v>
      </c>
      <c r="O7">
        <f t="shared" si="2"/>
        <v>2.6999999999999997</v>
      </c>
      <c r="P7" s="5">
        <v>0.4</v>
      </c>
      <c r="Q7" s="5">
        <v>0.45</v>
      </c>
      <c r="R7">
        <f t="shared" si="3"/>
        <v>2.9699999999999998</v>
      </c>
      <c r="S7" s="5">
        <v>0.85</v>
      </c>
      <c r="T7" s="5">
        <v>0.7</v>
      </c>
      <c r="U7">
        <f t="shared" si="4"/>
        <v>0.40500000000000008</v>
      </c>
      <c r="V7" s="5">
        <v>0.65</v>
      </c>
      <c r="W7" s="5">
        <v>0.55000000000000004</v>
      </c>
      <c r="X7">
        <f t="shared" si="5"/>
        <v>1.4174999999999998</v>
      </c>
    </row>
    <row r="8" spans="1:715" ht="57.75">
      <c r="A8" s="4" t="s">
        <v>39</v>
      </c>
      <c r="B8" s="20" t="s">
        <v>40</v>
      </c>
      <c r="C8" s="20" t="s">
        <v>41</v>
      </c>
      <c r="D8" t="s">
        <v>25</v>
      </c>
      <c r="E8" t="s">
        <v>33</v>
      </c>
      <c r="F8" cm="1">
        <f t="array" ref="F8">_xlfn.SWITCH(D8, "LOW", 3, "MEDIUM", 6, "HIGH", 9) * _xlfn.SWITCH(E8, "LOW", 3, "MEDIUM", 6, "HIGH", 9)</f>
        <v>18</v>
      </c>
      <c r="G8" s="5">
        <v>0.5</v>
      </c>
      <c r="H8" s="5">
        <v>0.55000000000000004</v>
      </c>
      <c r="I8">
        <f t="shared" si="0"/>
        <v>4.05</v>
      </c>
      <c r="J8" s="5">
        <v>0.4</v>
      </c>
      <c r="K8" s="5">
        <v>0.25</v>
      </c>
      <c r="L8">
        <f t="shared" si="1"/>
        <v>8.1</v>
      </c>
      <c r="M8" s="5">
        <v>0.65</v>
      </c>
      <c r="N8" s="5">
        <v>0.5</v>
      </c>
      <c r="O8">
        <f t="shared" si="2"/>
        <v>3.15</v>
      </c>
      <c r="P8" s="5">
        <v>0.55000000000000004</v>
      </c>
      <c r="Q8" s="5">
        <v>0.6</v>
      </c>
      <c r="R8">
        <f t="shared" si="3"/>
        <v>3.24</v>
      </c>
      <c r="S8" s="5">
        <v>0.5</v>
      </c>
      <c r="T8" s="5">
        <v>0.4</v>
      </c>
      <c r="U8">
        <f t="shared" si="4"/>
        <v>5.3999999999999995</v>
      </c>
      <c r="V8" s="5">
        <v>0.85</v>
      </c>
      <c r="W8" s="5">
        <v>0.7</v>
      </c>
      <c r="X8">
        <f t="shared" si="5"/>
        <v>0.81000000000000016</v>
      </c>
    </row>
    <row r="9" spans="1:715">
      <c r="A9" s="12" t="s">
        <v>42</v>
      </c>
      <c r="B9" s="15"/>
      <c r="C9" s="16"/>
      <c r="D9" s="16"/>
      <c r="E9" s="16"/>
      <c r="F9" s="15">
        <f>SUM(F3:F8)</f>
        <v>171</v>
      </c>
      <c r="G9" s="17"/>
      <c r="H9" s="16"/>
      <c r="I9" s="15">
        <f>SUM(I3:I8)</f>
        <v>71.459999999999994</v>
      </c>
      <c r="J9" s="16"/>
      <c r="K9" s="16"/>
      <c r="L9" s="15">
        <f>SUM(L3:L8)</f>
        <v>45.45</v>
      </c>
      <c r="M9" s="16"/>
      <c r="N9" s="16"/>
      <c r="O9" s="15">
        <f>SUM(O3:O8)</f>
        <v>52.65</v>
      </c>
      <c r="P9" s="16"/>
      <c r="Q9" s="16"/>
      <c r="R9" s="15">
        <f>SUM(R3:R8)</f>
        <v>44.28</v>
      </c>
      <c r="S9" s="16"/>
      <c r="T9" s="16"/>
      <c r="U9" s="24">
        <f>SUM(U3:U8)</f>
        <v>69.704999999999998</v>
      </c>
      <c r="V9" s="16"/>
      <c r="W9" s="16"/>
      <c r="X9" s="24">
        <f>SUM(X3:X8)</f>
        <v>35.887499999999996</v>
      </c>
      <c r="Y9" s="38">
        <f>F9 - AVERAGE(I9,L9,O9,R9,U9,X9)</f>
        <v>117.76124999999999</v>
      </c>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c r="CH9" s="16"/>
      <c r="CI9" s="16"/>
      <c r="CJ9" s="16"/>
      <c r="CK9" s="16"/>
      <c r="CL9" s="16"/>
      <c r="CM9" s="16"/>
      <c r="CN9" s="16"/>
      <c r="CO9" s="16"/>
      <c r="CP9" s="16"/>
      <c r="CQ9" s="16"/>
      <c r="CR9" s="16"/>
      <c r="CS9" s="16"/>
      <c r="CT9" s="16"/>
      <c r="CU9" s="16"/>
      <c r="CV9" s="16"/>
      <c r="CW9" s="16"/>
      <c r="CX9" s="16"/>
      <c r="CY9" s="16"/>
      <c r="CZ9" s="16"/>
      <c r="DA9" s="16"/>
      <c r="DB9" s="16"/>
      <c r="DC9" s="16"/>
      <c r="DD9" s="16"/>
      <c r="DE9" s="16"/>
      <c r="DF9" s="16"/>
      <c r="DG9" s="16"/>
      <c r="DH9" s="16"/>
      <c r="DI9" s="16"/>
      <c r="DJ9" s="16"/>
      <c r="DK9" s="16"/>
      <c r="DL9" s="16"/>
      <c r="DM9" s="16"/>
      <c r="DN9" s="16"/>
      <c r="DO9" s="16"/>
      <c r="DP9" s="16"/>
      <c r="DQ9" s="16"/>
      <c r="DR9" s="16"/>
      <c r="DS9" s="16"/>
      <c r="DT9" s="16"/>
      <c r="DU9" s="16"/>
      <c r="DV9" s="16"/>
      <c r="DW9" s="16"/>
      <c r="DX9" s="16"/>
      <c r="DY9" s="16"/>
      <c r="DZ9" s="16"/>
      <c r="EA9" s="16"/>
      <c r="EB9" s="16"/>
      <c r="EC9" s="16"/>
      <c r="ED9" s="16"/>
      <c r="EE9" s="16"/>
      <c r="EF9" s="16"/>
      <c r="EG9" s="16"/>
      <c r="EH9" s="16"/>
      <c r="EI9" s="16"/>
      <c r="EJ9" s="16"/>
      <c r="EK9" s="16"/>
      <c r="EL9" s="16"/>
      <c r="EM9" s="16"/>
      <c r="EN9" s="16"/>
      <c r="EO9" s="16"/>
      <c r="EP9" s="16"/>
      <c r="EQ9" s="16"/>
      <c r="ER9" s="16"/>
      <c r="ES9" s="16"/>
      <c r="ET9" s="16"/>
      <c r="EU9" s="16"/>
      <c r="EV9" s="16"/>
      <c r="EW9" s="16"/>
      <c r="EX9" s="16"/>
      <c r="EY9" s="16"/>
      <c r="EZ9" s="16"/>
      <c r="FA9" s="16"/>
      <c r="FB9" s="16"/>
      <c r="FC9" s="16"/>
      <c r="FD9" s="16"/>
      <c r="FE9" s="16"/>
      <c r="FF9" s="16"/>
      <c r="FG9" s="16"/>
      <c r="FH9" s="16"/>
      <c r="FI9" s="16"/>
      <c r="FJ9" s="16"/>
      <c r="FK9" s="16"/>
      <c r="FL9" s="16"/>
      <c r="FM9" s="16"/>
      <c r="FN9" s="16"/>
      <c r="FO9" s="16"/>
      <c r="FP9" s="16"/>
      <c r="FQ9" s="16"/>
      <c r="FR9" s="16"/>
      <c r="FS9" s="16"/>
      <c r="FT9" s="16"/>
      <c r="FU9" s="16"/>
      <c r="FV9" s="16"/>
      <c r="FW9" s="16"/>
      <c r="FX9" s="16"/>
      <c r="FY9" s="16"/>
      <c r="FZ9" s="16"/>
      <c r="GA9" s="16"/>
      <c r="GB9" s="16"/>
      <c r="GC9" s="16"/>
      <c r="GD9" s="16"/>
      <c r="GE9" s="16"/>
      <c r="GF9" s="16"/>
      <c r="GG9" s="16"/>
      <c r="GH9" s="16"/>
      <c r="GI9" s="16"/>
      <c r="GJ9" s="16"/>
      <c r="GK9" s="16"/>
      <c r="GL9" s="16"/>
      <c r="GM9" s="16"/>
      <c r="GN9" s="16"/>
      <c r="GO9" s="16"/>
      <c r="GP9" s="16"/>
      <c r="GQ9" s="16"/>
      <c r="GR9" s="16"/>
      <c r="GS9" s="16"/>
      <c r="GT9" s="16"/>
      <c r="GU9" s="16"/>
      <c r="GV9" s="16"/>
      <c r="GW9" s="16"/>
      <c r="GX9" s="16"/>
      <c r="GY9" s="16"/>
      <c r="GZ9" s="16"/>
      <c r="HA9" s="16"/>
      <c r="HB9" s="16"/>
      <c r="HC9" s="16"/>
      <c r="HD9" s="16"/>
      <c r="HE9" s="16"/>
      <c r="HF9" s="16"/>
      <c r="HG9" s="16"/>
      <c r="HH9" s="16"/>
      <c r="HI9" s="16"/>
      <c r="HJ9" s="16"/>
      <c r="HK9" s="16"/>
      <c r="HL9" s="16"/>
      <c r="HM9" s="16"/>
      <c r="HN9" s="16"/>
      <c r="HO9" s="16"/>
      <c r="HP9" s="16"/>
      <c r="HQ9" s="16"/>
      <c r="HR9" s="16"/>
      <c r="HS9" s="16"/>
      <c r="HT9" s="16"/>
      <c r="HU9" s="16"/>
      <c r="HV9" s="16"/>
      <c r="HW9" s="16"/>
      <c r="HX9" s="16"/>
      <c r="HY9" s="16"/>
      <c r="HZ9" s="16"/>
      <c r="IA9" s="16"/>
      <c r="IB9" s="16"/>
      <c r="IC9" s="16"/>
      <c r="ID9" s="16"/>
      <c r="IE9" s="16"/>
      <c r="IF9" s="16"/>
      <c r="IG9" s="16"/>
      <c r="IH9" s="16"/>
      <c r="II9" s="16"/>
      <c r="IJ9" s="16"/>
      <c r="IK9" s="16"/>
      <c r="IL9" s="16"/>
      <c r="IM9" s="16"/>
      <c r="IN9" s="16"/>
      <c r="IO9" s="16"/>
      <c r="IP9" s="16"/>
      <c r="IQ9" s="16"/>
      <c r="IR9" s="16"/>
      <c r="IS9" s="16"/>
      <c r="IT9" s="16"/>
      <c r="IU9" s="16"/>
      <c r="IV9" s="16"/>
      <c r="IW9" s="16"/>
      <c r="IX9" s="16"/>
      <c r="IY9" s="16"/>
      <c r="IZ9" s="16"/>
      <c r="JA9" s="16"/>
      <c r="JB9" s="16"/>
      <c r="JC9" s="16"/>
      <c r="JD9" s="16"/>
      <c r="JE9" s="16"/>
      <c r="JF9" s="16"/>
      <c r="JG9" s="16"/>
      <c r="JH9" s="16"/>
      <c r="JI9" s="16"/>
      <c r="JJ9" s="16"/>
      <c r="JK9" s="16"/>
      <c r="JL9" s="16"/>
      <c r="JM9" s="16"/>
      <c r="JN9" s="16"/>
      <c r="JO9" s="16"/>
      <c r="JP9" s="16"/>
      <c r="JQ9" s="16"/>
      <c r="JR9" s="16"/>
      <c r="JS9" s="16"/>
      <c r="JT9" s="16"/>
      <c r="JU9" s="16"/>
      <c r="JV9" s="16"/>
      <c r="JW9" s="16"/>
      <c r="JX9" s="16"/>
      <c r="JY9" s="16"/>
      <c r="JZ9" s="16"/>
      <c r="KA9" s="16"/>
      <c r="KB9" s="16"/>
      <c r="KC9" s="16"/>
      <c r="KD9" s="16"/>
      <c r="KE9" s="16"/>
      <c r="KF9" s="16"/>
      <c r="KG9" s="16"/>
      <c r="KH9" s="16"/>
      <c r="KI9" s="16"/>
      <c r="KJ9" s="16"/>
      <c r="KK9" s="16"/>
      <c r="KL9" s="16"/>
      <c r="KM9" s="16"/>
      <c r="KN9" s="16"/>
      <c r="KO9" s="16"/>
      <c r="KP9" s="16"/>
      <c r="KQ9" s="16"/>
      <c r="KR9" s="16"/>
      <c r="KS9" s="16"/>
      <c r="KT9" s="16"/>
      <c r="KU9" s="16"/>
      <c r="KV9" s="16"/>
      <c r="KW9" s="16"/>
      <c r="KX9" s="16"/>
      <c r="KY9" s="16"/>
      <c r="KZ9" s="16"/>
      <c r="LA9" s="16"/>
      <c r="LB9" s="16"/>
      <c r="LC9" s="16"/>
      <c r="LD9" s="16"/>
      <c r="LE9" s="16"/>
      <c r="LF9" s="16"/>
      <c r="LG9" s="16"/>
      <c r="LH9" s="16"/>
      <c r="LI9" s="16"/>
      <c r="LJ9" s="16"/>
      <c r="LK9" s="16"/>
      <c r="LL9" s="16"/>
      <c r="LM9" s="16"/>
      <c r="LN9" s="16"/>
      <c r="LO9" s="16"/>
      <c r="LP9" s="16"/>
      <c r="LQ9" s="16"/>
      <c r="LR9" s="16"/>
      <c r="LS9" s="16"/>
      <c r="LT9" s="16"/>
      <c r="LU9" s="16"/>
      <c r="LV9" s="16"/>
      <c r="LW9" s="16"/>
      <c r="LX9" s="16"/>
      <c r="LY9" s="16"/>
      <c r="LZ9" s="16"/>
      <c r="MA9" s="16"/>
      <c r="MB9" s="16"/>
      <c r="MC9" s="16"/>
      <c r="MD9" s="16"/>
      <c r="ME9" s="16"/>
      <c r="MF9" s="16"/>
      <c r="MG9" s="16"/>
      <c r="MH9" s="16"/>
      <c r="MI9" s="16"/>
      <c r="MJ9" s="16"/>
      <c r="MK9" s="16"/>
      <c r="ML9" s="16"/>
      <c r="MM9" s="16"/>
      <c r="MN9" s="16"/>
      <c r="MO9" s="16"/>
      <c r="MP9" s="16"/>
      <c r="MQ9" s="16"/>
      <c r="MR9" s="16"/>
      <c r="MS9" s="16"/>
      <c r="MT9" s="16"/>
      <c r="MU9" s="16"/>
      <c r="MV9" s="16"/>
      <c r="MW9" s="16"/>
      <c r="MX9" s="16"/>
      <c r="MY9" s="16"/>
      <c r="MZ9" s="16"/>
      <c r="NA9" s="16"/>
      <c r="NB9" s="16"/>
      <c r="NC9" s="16"/>
      <c r="ND9" s="16"/>
      <c r="NE9" s="16"/>
      <c r="NF9" s="16"/>
      <c r="NG9" s="16"/>
      <c r="NH9" s="16"/>
      <c r="NI9" s="16"/>
      <c r="NJ9" s="16"/>
      <c r="NK9" s="16"/>
      <c r="NL9" s="16"/>
      <c r="NM9" s="16"/>
      <c r="NN9" s="16"/>
      <c r="NO9" s="16"/>
      <c r="NP9" s="16"/>
      <c r="NQ9" s="16"/>
      <c r="NR9" s="16"/>
      <c r="NS9" s="16"/>
      <c r="NT9" s="16"/>
      <c r="NU9" s="16"/>
      <c r="NV9" s="16"/>
      <c r="NW9" s="16"/>
      <c r="NX9" s="16"/>
      <c r="NY9" s="16"/>
      <c r="NZ9" s="16"/>
      <c r="OA9" s="16"/>
      <c r="OB9" s="16"/>
      <c r="OC9" s="16"/>
      <c r="OD9" s="16"/>
      <c r="OE9" s="16"/>
      <c r="OF9" s="16"/>
      <c r="OG9" s="16"/>
      <c r="OH9" s="16"/>
      <c r="OI9" s="16"/>
      <c r="OJ9" s="16"/>
      <c r="OK9" s="16"/>
      <c r="OL9" s="16"/>
      <c r="OM9" s="16"/>
      <c r="ON9" s="16"/>
      <c r="OO9" s="16"/>
      <c r="OP9" s="16"/>
      <c r="OQ9" s="16"/>
      <c r="OR9" s="16"/>
      <c r="OS9" s="16"/>
      <c r="OT9" s="16"/>
      <c r="OU9" s="16"/>
      <c r="OV9" s="16"/>
      <c r="OW9" s="16"/>
      <c r="OX9" s="16"/>
      <c r="OY9" s="16"/>
      <c r="OZ9" s="16"/>
      <c r="PA9" s="16"/>
      <c r="PB9" s="16"/>
      <c r="PC9" s="16"/>
      <c r="PD9" s="16"/>
      <c r="PE9" s="16"/>
      <c r="PF9" s="16"/>
      <c r="PG9" s="16"/>
      <c r="PH9" s="16"/>
      <c r="PI9" s="16"/>
      <c r="PJ9" s="16"/>
      <c r="PK9" s="16"/>
      <c r="PL9" s="16"/>
      <c r="PM9" s="16"/>
      <c r="PN9" s="16"/>
      <c r="PO9" s="16"/>
      <c r="PP9" s="16"/>
      <c r="PQ9" s="16"/>
      <c r="PR9" s="16"/>
      <c r="PS9" s="16"/>
      <c r="PT9" s="16"/>
      <c r="PU9" s="16"/>
      <c r="PV9" s="16"/>
      <c r="PW9" s="16"/>
      <c r="PX9" s="16"/>
      <c r="PY9" s="16"/>
      <c r="PZ9" s="16"/>
      <c r="QA9" s="16"/>
      <c r="QB9" s="16"/>
      <c r="QC9" s="16"/>
      <c r="QD9" s="16"/>
      <c r="QE9" s="16"/>
      <c r="QF9" s="16"/>
      <c r="QG9" s="16"/>
      <c r="QH9" s="16"/>
      <c r="QI9" s="16"/>
      <c r="QJ9" s="16"/>
      <c r="QK9" s="16"/>
      <c r="QL9" s="16"/>
      <c r="QM9" s="16"/>
      <c r="QN9" s="16"/>
      <c r="QO9" s="16"/>
      <c r="QP9" s="16"/>
      <c r="QQ9" s="16"/>
      <c r="QR9" s="16"/>
      <c r="QS9" s="16"/>
      <c r="QT9" s="16"/>
      <c r="QU9" s="16"/>
      <c r="QV9" s="16"/>
      <c r="QW9" s="16"/>
      <c r="QX9" s="16"/>
      <c r="QY9" s="16"/>
      <c r="QZ9" s="16"/>
      <c r="RA9" s="16"/>
      <c r="RB9" s="16"/>
      <c r="RC9" s="16"/>
      <c r="RD9" s="16"/>
      <c r="RE9" s="16"/>
      <c r="RF9" s="16"/>
      <c r="RG9" s="16"/>
      <c r="RH9" s="16"/>
      <c r="RI9" s="16"/>
      <c r="RJ9" s="16"/>
      <c r="RK9" s="16"/>
      <c r="RL9" s="16"/>
      <c r="RM9" s="16"/>
      <c r="RN9" s="16"/>
      <c r="RO9" s="16"/>
      <c r="RP9" s="16"/>
      <c r="RQ9" s="16"/>
      <c r="RR9" s="16"/>
      <c r="RS9" s="16"/>
      <c r="RT9" s="16"/>
      <c r="RU9" s="16"/>
      <c r="RV9" s="16"/>
      <c r="RW9" s="16"/>
      <c r="RX9" s="16"/>
      <c r="RY9" s="16"/>
      <c r="RZ9" s="16"/>
      <c r="SA9" s="16"/>
      <c r="SB9" s="16"/>
      <c r="SC9" s="16"/>
      <c r="SD9" s="16"/>
      <c r="SE9" s="16"/>
      <c r="SF9" s="16"/>
      <c r="SG9" s="16"/>
      <c r="SH9" s="16"/>
      <c r="SI9" s="16"/>
      <c r="SJ9" s="16"/>
      <c r="SK9" s="16"/>
      <c r="SL9" s="16"/>
      <c r="SM9" s="16"/>
      <c r="SN9" s="16"/>
      <c r="SO9" s="16"/>
      <c r="SP9" s="16"/>
      <c r="SQ9" s="16"/>
      <c r="SR9" s="16"/>
      <c r="SS9" s="16"/>
      <c r="ST9" s="16"/>
      <c r="SU9" s="16"/>
      <c r="SV9" s="16"/>
      <c r="SW9" s="16"/>
      <c r="SX9" s="16"/>
      <c r="SY9" s="16"/>
      <c r="SZ9" s="16"/>
      <c r="TA9" s="16"/>
      <c r="TB9" s="16"/>
      <c r="TC9" s="16"/>
      <c r="TD9" s="16"/>
      <c r="TE9" s="16"/>
      <c r="TF9" s="16"/>
      <c r="TG9" s="16"/>
      <c r="TH9" s="16"/>
      <c r="TI9" s="16"/>
      <c r="TJ9" s="16"/>
      <c r="TK9" s="16"/>
      <c r="TL9" s="16"/>
      <c r="TM9" s="16"/>
      <c r="TN9" s="16"/>
      <c r="TO9" s="16"/>
      <c r="TP9" s="16"/>
      <c r="TQ9" s="16"/>
      <c r="TR9" s="16"/>
      <c r="TS9" s="16"/>
      <c r="TT9" s="16"/>
      <c r="TU9" s="16"/>
      <c r="TV9" s="16"/>
      <c r="TW9" s="16"/>
      <c r="TX9" s="16"/>
      <c r="TY9" s="16"/>
      <c r="TZ9" s="16"/>
      <c r="UA9" s="16"/>
      <c r="UB9" s="16"/>
      <c r="UC9" s="16"/>
      <c r="UD9" s="16"/>
      <c r="UE9" s="16"/>
      <c r="UF9" s="16"/>
      <c r="UG9" s="16"/>
      <c r="UH9" s="16"/>
      <c r="UI9" s="16"/>
      <c r="UJ9" s="16"/>
      <c r="UK9" s="16"/>
      <c r="UL9" s="16"/>
      <c r="UM9" s="16"/>
      <c r="UN9" s="16"/>
      <c r="UO9" s="16"/>
      <c r="UP9" s="16"/>
      <c r="UQ9" s="16"/>
      <c r="UR9" s="16"/>
      <c r="US9" s="16"/>
      <c r="UT9" s="16"/>
      <c r="UU9" s="16"/>
      <c r="UV9" s="16"/>
      <c r="UW9" s="16"/>
      <c r="UX9" s="16"/>
      <c r="UY9" s="16"/>
      <c r="UZ9" s="16"/>
      <c r="VA9" s="16"/>
      <c r="VB9" s="16"/>
      <c r="VC9" s="16"/>
      <c r="VD9" s="16"/>
      <c r="VE9" s="16"/>
      <c r="VF9" s="16"/>
      <c r="VG9" s="16"/>
      <c r="VH9" s="16"/>
      <c r="VI9" s="16"/>
      <c r="VJ9" s="16"/>
      <c r="VK9" s="16"/>
      <c r="VL9" s="16"/>
      <c r="VM9" s="16"/>
      <c r="VN9" s="16"/>
      <c r="VO9" s="16"/>
      <c r="VP9" s="16"/>
      <c r="VQ9" s="16"/>
      <c r="VR9" s="16"/>
      <c r="VS9" s="16"/>
      <c r="VT9" s="16"/>
      <c r="VU9" s="16"/>
      <c r="VV9" s="16"/>
      <c r="VW9" s="16"/>
      <c r="VX9" s="16"/>
      <c r="VY9" s="16"/>
      <c r="VZ9" s="16"/>
      <c r="WA9" s="16"/>
      <c r="WB9" s="16"/>
      <c r="WC9" s="16"/>
      <c r="WD9" s="16"/>
      <c r="WE9" s="16"/>
      <c r="WF9" s="16"/>
      <c r="WG9" s="16"/>
      <c r="WH9" s="16"/>
      <c r="WI9" s="16"/>
      <c r="WJ9" s="16"/>
      <c r="WK9" s="16"/>
      <c r="WL9" s="16"/>
      <c r="WM9" s="16"/>
      <c r="WN9" s="16"/>
      <c r="WO9" s="16"/>
      <c r="WP9" s="16"/>
      <c r="WQ9" s="16"/>
      <c r="WR9" s="16"/>
      <c r="WS9" s="16"/>
      <c r="WT9" s="16"/>
      <c r="WU9" s="16"/>
      <c r="WV9" s="16"/>
      <c r="WW9" s="16"/>
      <c r="WX9" s="16"/>
      <c r="WY9" s="16"/>
      <c r="WZ9" s="16"/>
      <c r="XA9" s="16"/>
      <c r="XB9" s="16"/>
      <c r="XC9" s="16"/>
      <c r="XD9" s="16"/>
      <c r="XE9" s="16"/>
      <c r="XF9" s="16"/>
      <c r="XG9" s="16"/>
      <c r="XH9" s="16"/>
      <c r="XI9" s="16"/>
      <c r="XJ9" s="16"/>
      <c r="XK9" s="16"/>
      <c r="XL9" s="16"/>
      <c r="XM9" s="16"/>
      <c r="XN9" s="16"/>
      <c r="XO9" s="16"/>
      <c r="XP9" s="16"/>
      <c r="XQ9" s="16"/>
      <c r="XR9" s="16"/>
      <c r="XS9" s="16"/>
      <c r="XT9" s="16"/>
      <c r="XU9" s="16"/>
      <c r="XV9" s="16"/>
      <c r="XW9" s="16"/>
      <c r="XX9" s="16"/>
      <c r="XY9" s="16"/>
      <c r="XZ9" s="16"/>
      <c r="YA9" s="16"/>
      <c r="YB9" s="16"/>
      <c r="YC9" s="16"/>
      <c r="YD9" s="16"/>
      <c r="YE9" s="16"/>
      <c r="YF9" s="16"/>
      <c r="YG9" s="16"/>
      <c r="YH9" s="16"/>
      <c r="YI9" s="16"/>
      <c r="YJ9" s="16"/>
      <c r="YK9" s="16"/>
      <c r="YL9" s="16"/>
      <c r="YM9" s="16"/>
      <c r="YN9" s="16"/>
      <c r="YO9" s="16"/>
      <c r="YP9" s="16"/>
      <c r="YQ9" s="16"/>
      <c r="YR9" s="16"/>
      <c r="YS9" s="16"/>
      <c r="YT9" s="16"/>
      <c r="YU9" s="16"/>
      <c r="YV9" s="16"/>
      <c r="YW9" s="16"/>
      <c r="YX9" s="16"/>
      <c r="YY9" s="16"/>
      <c r="YZ9" s="16"/>
      <c r="ZA9" s="16"/>
      <c r="ZB9" s="16"/>
      <c r="ZC9" s="16"/>
      <c r="ZD9" s="16"/>
      <c r="ZE9" s="16"/>
      <c r="ZF9" s="16"/>
      <c r="ZG9" s="16"/>
      <c r="ZH9" s="16"/>
      <c r="ZI9" s="16"/>
      <c r="ZJ9" s="16"/>
      <c r="ZK9" s="16"/>
      <c r="ZL9" s="16"/>
      <c r="ZM9" s="16"/>
      <c r="ZN9" s="16"/>
      <c r="ZO9" s="16"/>
      <c r="ZP9" s="16"/>
      <c r="ZQ9" s="16"/>
      <c r="ZR9" s="16"/>
      <c r="ZS9" s="16"/>
      <c r="ZT9" s="16"/>
      <c r="ZU9" s="16"/>
      <c r="ZV9" s="16"/>
      <c r="ZW9" s="16"/>
      <c r="ZX9" s="16"/>
      <c r="ZY9" s="16"/>
      <c r="ZZ9" s="16"/>
      <c r="AAA9" s="16"/>
      <c r="AAB9" s="16"/>
      <c r="AAC9" s="16"/>
      <c r="AAD9" s="16"/>
      <c r="AAE9" s="16"/>
      <c r="AAF9" s="16"/>
      <c r="AAG9" s="16"/>
      <c r="AAH9" s="16"/>
      <c r="AAI9" s="16"/>
      <c r="AAJ9" s="16"/>
      <c r="AAK9" s="16"/>
      <c r="AAL9" s="16"/>
      <c r="AAM9" s="16"/>
    </row>
    <row r="10" spans="1:715">
      <c r="A10" s="14"/>
      <c r="B10" s="13"/>
      <c r="C10" s="14"/>
      <c r="D10" s="14"/>
      <c r="E10" s="14"/>
      <c r="F10" s="14"/>
      <c r="G10" s="14"/>
      <c r="H10" s="14"/>
      <c r="I10" s="14"/>
      <c r="J10" s="14"/>
      <c r="K10" s="14"/>
      <c r="L10" s="14"/>
      <c r="M10" s="14"/>
      <c r="N10" s="14"/>
      <c r="O10" s="14"/>
      <c r="P10" s="14"/>
      <c r="Q10" s="14"/>
      <c r="R10" s="14"/>
      <c r="S10" s="14"/>
      <c r="T10" s="14"/>
      <c r="U10" s="14"/>
      <c r="V10" s="14"/>
      <c r="W10" s="14"/>
      <c r="X10" s="14"/>
      <c r="Y10" s="38"/>
      <c r="Z10" s="14"/>
      <c r="AA10" s="14"/>
      <c r="AB10" s="14"/>
      <c r="AC10" s="14"/>
      <c r="AD10" s="14"/>
      <c r="AE10" s="14"/>
      <c r="AF10" s="14"/>
      <c r="AG10" s="14"/>
      <c r="AH10" s="14"/>
      <c r="AI10" s="14"/>
      <c r="AJ10" s="14"/>
      <c r="AK10" s="14"/>
      <c r="AL10" s="14"/>
      <c r="AM10" s="14"/>
      <c r="AN10" s="14"/>
      <c r="AO10" s="14"/>
      <c r="AP10" s="14"/>
      <c r="AQ10" s="14"/>
      <c r="AR10" s="14"/>
      <c r="AS10" s="14"/>
      <c r="AT10" s="14"/>
      <c r="AU10" s="14"/>
      <c r="AV10" s="14"/>
      <c r="AW10" s="14"/>
      <c r="AX10" s="14"/>
      <c r="AY10" s="14"/>
      <c r="AZ10" s="14"/>
      <c r="BA10" s="14"/>
      <c r="BB10" s="14"/>
      <c r="BC10" s="14"/>
      <c r="BD10" s="14"/>
      <c r="BE10" s="14"/>
      <c r="BF10" s="14"/>
      <c r="BG10" s="14"/>
      <c r="BH10" s="14"/>
      <c r="BI10" s="14"/>
      <c r="BJ10" s="14"/>
      <c r="BK10" s="14"/>
      <c r="BL10" s="14"/>
      <c r="BM10" s="14"/>
      <c r="BN10" s="14"/>
      <c r="BO10" s="14"/>
      <c r="BP10" s="14"/>
      <c r="BQ10" s="14"/>
      <c r="BR10" s="14"/>
      <c r="BS10" s="14"/>
      <c r="BT10" s="14"/>
      <c r="BU10" s="14"/>
      <c r="BV10" s="14"/>
      <c r="BW10" s="14"/>
      <c r="BX10" s="14"/>
      <c r="BY10" s="14"/>
      <c r="BZ10" s="14"/>
      <c r="CA10" s="14"/>
      <c r="CB10" s="14"/>
      <c r="CC10" s="14"/>
      <c r="CD10" s="14"/>
      <c r="CE10" s="14"/>
      <c r="CF10" s="14"/>
      <c r="CG10" s="14"/>
      <c r="CH10" s="14"/>
      <c r="CI10" s="14"/>
      <c r="CJ10" s="14"/>
      <c r="CK10" s="14"/>
      <c r="CL10" s="14"/>
      <c r="CM10" s="14"/>
      <c r="CN10" s="14"/>
      <c r="CO10" s="14"/>
      <c r="CP10" s="14"/>
      <c r="CQ10" s="14"/>
      <c r="CR10" s="14"/>
      <c r="CS10" s="14"/>
      <c r="CT10" s="14"/>
      <c r="CU10" s="14"/>
      <c r="CV10" s="14"/>
      <c r="CW10" s="14"/>
      <c r="CX10" s="14"/>
      <c r="CY10" s="14"/>
      <c r="CZ10" s="14"/>
      <c r="DA10" s="14"/>
      <c r="DB10" s="14"/>
      <c r="DC10" s="14"/>
      <c r="DD10" s="14"/>
      <c r="DE10" s="14"/>
      <c r="DF10" s="14"/>
      <c r="DG10" s="14"/>
      <c r="DH10" s="14"/>
      <c r="DI10" s="14"/>
      <c r="DJ10" s="14"/>
      <c r="DK10" s="14"/>
      <c r="DL10" s="14"/>
      <c r="DM10" s="14"/>
      <c r="DN10" s="14"/>
      <c r="DO10" s="14"/>
      <c r="DP10" s="14"/>
      <c r="DQ10" s="14"/>
      <c r="DR10" s="14"/>
      <c r="DS10" s="14"/>
      <c r="DT10" s="14"/>
      <c r="DU10" s="14"/>
      <c r="DV10" s="14"/>
      <c r="DW10" s="14"/>
      <c r="DX10" s="14"/>
      <c r="DY10" s="14"/>
      <c r="DZ10" s="14"/>
      <c r="EA10" s="14"/>
      <c r="EB10" s="14"/>
      <c r="EC10" s="14"/>
      <c r="ED10" s="14"/>
      <c r="EE10" s="14"/>
      <c r="EF10" s="14"/>
      <c r="EG10" s="14"/>
      <c r="EH10" s="14"/>
      <c r="EI10" s="14"/>
      <c r="EJ10" s="14"/>
      <c r="EK10" s="14"/>
      <c r="EL10" s="14"/>
      <c r="EM10" s="14"/>
      <c r="EN10" s="14"/>
      <c r="EO10" s="14"/>
      <c r="EP10" s="14"/>
      <c r="EQ10" s="14"/>
      <c r="ER10" s="14"/>
      <c r="ES10" s="14"/>
      <c r="ET10" s="14"/>
      <c r="EU10" s="14"/>
      <c r="EV10" s="14"/>
      <c r="EW10" s="14"/>
      <c r="EX10" s="14"/>
      <c r="EY10" s="14"/>
      <c r="EZ10" s="14"/>
      <c r="FA10" s="14"/>
      <c r="FB10" s="14"/>
      <c r="FC10" s="14"/>
      <c r="FD10" s="14"/>
      <c r="FE10" s="14"/>
      <c r="FF10" s="14"/>
      <c r="FG10" s="14"/>
      <c r="FH10" s="14"/>
      <c r="FI10" s="14"/>
      <c r="FJ10" s="14"/>
      <c r="FK10" s="14"/>
      <c r="FL10" s="14"/>
      <c r="FM10" s="14"/>
      <c r="FN10" s="14"/>
      <c r="FO10" s="14"/>
      <c r="FP10" s="14"/>
      <c r="FQ10" s="14"/>
      <c r="FR10" s="14"/>
      <c r="FS10" s="14"/>
      <c r="FT10" s="14"/>
      <c r="FU10" s="14"/>
      <c r="FV10" s="14"/>
      <c r="FW10" s="14"/>
      <c r="FX10" s="14"/>
      <c r="FY10" s="14"/>
      <c r="FZ10" s="14"/>
      <c r="GA10" s="14"/>
      <c r="GB10" s="14"/>
      <c r="GC10" s="14"/>
      <c r="GD10" s="14"/>
      <c r="GE10" s="14"/>
      <c r="GF10" s="14"/>
      <c r="GG10" s="14"/>
      <c r="GH10" s="14"/>
      <c r="GI10" s="14"/>
      <c r="GJ10" s="14"/>
      <c r="GK10" s="14"/>
      <c r="GL10" s="14"/>
      <c r="GM10" s="14"/>
      <c r="GN10" s="14"/>
      <c r="GO10" s="14"/>
      <c r="GP10" s="14"/>
      <c r="GQ10" s="14"/>
      <c r="GR10" s="14"/>
      <c r="GS10" s="14"/>
      <c r="GT10" s="14"/>
      <c r="GU10" s="14"/>
      <c r="GV10" s="14"/>
      <c r="GW10" s="14"/>
      <c r="GX10" s="14"/>
      <c r="GY10" s="14"/>
      <c r="GZ10" s="14"/>
      <c r="HA10" s="14"/>
      <c r="HB10" s="14"/>
      <c r="HC10" s="14"/>
      <c r="HD10" s="14"/>
      <c r="HE10" s="14"/>
      <c r="HF10" s="14"/>
      <c r="HG10" s="14"/>
      <c r="HH10" s="14"/>
      <c r="HI10" s="14"/>
      <c r="HJ10" s="14"/>
      <c r="HK10" s="14"/>
      <c r="HL10" s="14"/>
      <c r="HM10" s="14"/>
      <c r="HN10" s="14"/>
      <c r="HO10" s="14"/>
      <c r="HP10" s="14"/>
      <c r="HQ10" s="14"/>
      <c r="HR10" s="14"/>
      <c r="HS10" s="14"/>
      <c r="HT10" s="14"/>
      <c r="HU10" s="14"/>
      <c r="HV10" s="14"/>
      <c r="HW10" s="14"/>
      <c r="HX10" s="14"/>
      <c r="HY10" s="14"/>
      <c r="HZ10" s="14"/>
      <c r="IA10" s="14"/>
      <c r="IB10" s="14"/>
      <c r="IC10" s="14"/>
      <c r="ID10" s="14"/>
      <c r="IE10" s="14"/>
      <c r="IF10" s="14"/>
      <c r="IG10" s="14"/>
      <c r="IH10" s="14"/>
      <c r="II10" s="14"/>
      <c r="IJ10" s="14"/>
      <c r="IK10" s="14"/>
      <c r="IL10" s="14"/>
      <c r="IM10" s="14"/>
      <c r="IN10" s="14"/>
      <c r="IO10" s="14"/>
      <c r="IP10" s="14"/>
      <c r="IQ10" s="14"/>
      <c r="IR10" s="14"/>
      <c r="IS10" s="14"/>
      <c r="IT10" s="14"/>
      <c r="IU10" s="14"/>
      <c r="IV10" s="14"/>
      <c r="IW10" s="14"/>
      <c r="IX10" s="14"/>
      <c r="IY10" s="14"/>
      <c r="IZ10" s="14"/>
      <c r="JA10" s="14"/>
      <c r="JB10" s="14"/>
      <c r="JC10" s="14"/>
      <c r="JD10" s="14"/>
      <c r="JE10" s="14"/>
      <c r="JF10" s="14"/>
      <c r="JG10" s="14"/>
      <c r="JH10" s="14"/>
      <c r="JI10" s="14"/>
      <c r="JJ10" s="14"/>
      <c r="JK10" s="14"/>
      <c r="JL10" s="14"/>
      <c r="JM10" s="14"/>
      <c r="JN10" s="14"/>
      <c r="JO10" s="14"/>
      <c r="JP10" s="14"/>
      <c r="JQ10" s="14"/>
      <c r="JR10" s="14"/>
      <c r="JS10" s="14"/>
      <c r="JT10" s="14"/>
      <c r="JU10" s="14"/>
      <c r="JV10" s="14"/>
      <c r="JW10" s="14"/>
      <c r="JX10" s="14"/>
      <c r="JY10" s="14"/>
      <c r="JZ10" s="14"/>
      <c r="KA10" s="14"/>
      <c r="KB10" s="14"/>
      <c r="KC10" s="14"/>
      <c r="KD10" s="14"/>
      <c r="KE10" s="14"/>
      <c r="KF10" s="14"/>
      <c r="KG10" s="14"/>
      <c r="KH10" s="14"/>
      <c r="KI10" s="14"/>
      <c r="KJ10" s="14"/>
      <c r="KK10" s="14"/>
      <c r="KL10" s="14"/>
      <c r="KM10" s="14"/>
      <c r="KN10" s="14"/>
      <c r="KO10" s="14"/>
      <c r="KP10" s="14"/>
      <c r="KQ10" s="14"/>
      <c r="KR10" s="14"/>
      <c r="KS10" s="14"/>
      <c r="KT10" s="14"/>
      <c r="KU10" s="14"/>
      <c r="KV10" s="14"/>
      <c r="KW10" s="14"/>
      <c r="KX10" s="14"/>
      <c r="KY10" s="14"/>
      <c r="KZ10" s="14"/>
      <c r="LA10" s="14"/>
      <c r="LB10" s="14"/>
      <c r="LC10" s="14"/>
      <c r="LD10" s="14"/>
      <c r="LE10" s="14"/>
      <c r="LF10" s="14"/>
      <c r="LG10" s="14"/>
      <c r="LH10" s="14"/>
      <c r="LI10" s="14"/>
      <c r="LJ10" s="14"/>
      <c r="LK10" s="14"/>
      <c r="LL10" s="14"/>
      <c r="LM10" s="14"/>
      <c r="LN10" s="14"/>
      <c r="LO10" s="14"/>
      <c r="LP10" s="14"/>
      <c r="LQ10" s="14"/>
      <c r="LR10" s="14"/>
      <c r="LS10" s="14"/>
      <c r="LT10" s="14"/>
      <c r="LU10" s="14"/>
      <c r="LV10" s="14"/>
      <c r="LW10" s="14"/>
      <c r="LX10" s="14"/>
      <c r="LY10" s="14"/>
      <c r="LZ10" s="14"/>
      <c r="MA10" s="14"/>
      <c r="MB10" s="14"/>
      <c r="MC10" s="14"/>
      <c r="MD10" s="14"/>
      <c r="ME10" s="14"/>
      <c r="MF10" s="14"/>
      <c r="MG10" s="14"/>
      <c r="MH10" s="14"/>
      <c r="MI10" s="14"/>
      <c r="MJ10" s="14"/>
      <c r="MK10" s="14"/>
      <c r="ML10" s="14"/>
      <c r="MM10" s="14"/>
      <c r="MN10" s="14"/>
      <c r="MO10" s="14"/>
      <c r="MP10" s="14"/>
      <c r="MQ10" s="14"/>
      <c r="MR10" s="14"/>
      <c r="MS10" s="14"/>
      <c r="MT10" s="14"/>
      <c r="MU10" s="14"/>
      <c r="MV10" s="14"/>
      <c r="MW10" s="14"/>
      <c r="MX10" s="14"/>
      <c r="MY10" s="14"/>
      <c r="MZ10" s="14"/>
      <c r="NA10" s="14"/>
      <c r="NB10" s="14"/>
      <c r="NC10" s="14"/>
      <c r="ND10" s="14"/>
      <c r="NE10" s="14"/>
      <c r="NF10" s="14"/>
      <c r="NG10" s="14"/>
      <c r="NH10" s="14"/>
      <c r="NI10" s="14"/>
      <c r="NJ10" s="14"/>
      <c r="NK10" s="14"/>
      <c r="NL10" s="14"/>
      <c r="NM10" s="14"/>
      <c r="NN10" s="14"/>
      <c r="NO10" s="14"/>
      <c r="NP10" s="14"/>
      <c r="NQ10" s="14"/>
      <c r="NR10" s="14"/>
      <c r="NS10" s="14"/>
      <c r="NT10" s="14"/>
      <c r="NU10" s="14"/>
      <c r="NV10" s="14"/>
      <c r="NW10" s="14"/>
      <c r="NX10" s="14"/>
      <c r="NY10" s="14"/>
      <c r="NZ10" s="14"/>
      <c r="OA10" s="14"/>
      <c r="OB10" s="14"/>
      <c r="OC10" s="14"/>
      <c r="OD10" s="14"/>
      <c r="OE10" s="14"/>
      <c r="OF10" s="14"/>
      <c r="OG10" s="14"/>
      <c r="OH10" s="14"/>
      <c r="OI10" s="14"/>
      <c r="OJ10" s="14"/>
      <c r="OK10" s="14"/>
      <c r="OL10" s="14"/>
      <c r="OM10" s="14"/>
      <c r="ON10" s="14"/>
      <c r="OO10" s="14"/>
      <c r="OP10" s="14"/>
      <c r="OQ10" s="14"/>
      <c r="OR10" s="14"/>
      <c r="OS10" s="14"/>
      <c r="OT10" s="14"/>
      <c r="OU10" s="14"/>
      <c r="OV10" s="14"/>
      <c r="OW10" s="14"/>
      <c r="OX10" s="14"/>
      <c r="OY10" s="14"/>
      <c r="OZ10" s="14"/>
      <c r="PA10" s="14"/>
      <c r="PB10" s="14"/>
      <c r="PC10" s="14"/>
      <c r="PD10" s="14"/>
      <c r="PE10" s="14"/>
      <c r="PF10" s="14"/>
      <c r="PG10" s="14"/>
      <c r="PH10" s="14"/>
      <c r="PI10" s="14"/>
      <c r="PJ10" s="14"/>
      <c r="PK10" s="14"/>
      <c r="PL10" s="14"/>
      <c r="PM10" s="14"/>
      <c r="PN10" s="14"/>
      <c r="PO10" s="14"/>
      <c r="PP10" s="14"/>
      <c r="PQ10" s="14"/>
      <c r="PR10" s="14"/>
      <c r="PS10" s="14"/>
      <c r="PT10" s="14"/>
      <c r="PU10" s="14"/>
      <c r="PV10" s="14"/>
      <c r="PW10" s="14"/>
      <c r="PX10" s="14"/>
      <c r="PY10" s="14"/>
      <c r="PZ10" s="14"/>
      <c r="QA10" s="14"/>
      <c r="QB10" s="14"/>
      <c r="QC10" s="14"/>
      <c r="QD10" s="14"/>
      <c r="QE10" s="14"/>
      <c r="QF10" s="14"/>
      <c r="QG10" s="14"/>
      <c r="QH10" s="14"/>
      <c r="QI10" s="14"/>
      <c r="QJ10" s="14"/>
      <c r="QK10" s="14"/>
      <c r="QL10" s="14"/>
      <c r="QM10" s="14"/>
      <c r="QN10" s="14"/>
      <c r="QO10" s="14"/>
      <c r="QP10" s="14"/>
      <c r="QQ10" s="14"/>
      <c r="QR10" s="14"/>
      <c r="QS10" s="14"/>
      <c r="QT10" s="14"/>
      <c r="QU10" s="14"/>
      <c r="QV10" s="14"/>
      <c r="QW10" s="14"/>
      <c r="QX10" s="14"/>
      <c r="QY10" s="14"/>
      <c r="QZ10" s="14"/>
      <c r="RA10" s="14"/>
      <c r="RB10" s="14"/>
      <c r="RC10" s="14"/>
      <c r="RD10" s="14"/>
      <c r="RE10" s="14"/>
      <c r="RF10" s="14"/>
      <c r="RG10" s="14"/>
      <c r="RH10" s="14"/>
      <c r="RI10" s="14"/>
      <c r="RJ10" s="14"/>
      <c r="RK10" s="14"/>
      <c r="RL10" s="14"/>
      <c r="RM10" s="14"/>
      <c r="RN10" s="14"/>
      <c r="RO10" s="14"/>
      <c r="RP10" s="14"/>
      <c r="RQ10" s="14"/>
      <c r="RR10" s="14"/>
      <c r="RS10" s="14"/>
      <c r="RT10" s="14"/>
      <c r="RU10" s="14"/>
      <c r="RV10" s="14"/>
      <c r="RW10" s="14"/>
      <c r="RX10" s="14"/>
      <c r="RY10" s="14"/>
      <c r="RZ10" s="14"/>
      <c r="SA10" s="14"/>
      <c r="SB10" s="14"/>
      <c r="SC10" s="14"/>
      <c r="SD10" s="14"/>
      <c r="SE10" s="14"/>
      <c r="SF10" s="14"/>
      <c r="SG10" s="14"/>
      <c r="SH10" s="14"/>
      <c r="SI10" s="14"/>
      <c r="SJ10" s="14"/>
      <c r="SK10" s="14"/>
      <c r="SL10" s="14"/>
      <c r="SM10" s="14"/>
      <c r="SN10" s="14"/>
      <c r="SO10" s="14"/>
      <c r="SP10" s="14"/>
      <c r="SQ10" s="14"/>
      <c r="SR10" s="14"/>
      <c r="SS10" s="14"/>
      <c r="ST10" s="14"/>
      <c r="SU10" s="14"/>
      <c r="SV10" s="14"/>
      <c r="SW10" s="14"/>
      <c r="SX10" s="14"/>
      <c r="SY10" s="14"/>
      <c r="SZ10" s="14"/>
      <c r="TA10" s="14"/>
      <c r="TB10" s="14"/>
      <c r="TC10" s="14"/>
      <c r="TD10" s="14"/>
      <c r="TE10" s="14"/>
      <c r="TF10" s="14"/>
      <c r="TG10" s="14"/>
      <c r="TH10" s="14"/>
      <c r="TI10" s="14"/>
      <c r="TJ10" s="14"/>
      <c r="TK10" s="14"/>
      <c r="TL10" s="14"/>
      <c r="TM10" s="14"/>
      <c r="TN10" s="14"/>
      <c r="TO10" s="14"/>
      <c r="TP10" s="14"/>
      <c r="TQ10" s="14"/>
      <c r="TR10" s="14"/>
      <c r="TS10" s="14"/>
      <c r="TT10" s="14"/>
      <c r="TU10" s="14"/>
      <c r="TV10" s="14"/>
      <c r="TW10" s="14"/>
      <c r="TX10" s="14"/>
      <c r="TY10" s="14"/>
      <c r="TZ10" s="14"/>
      <c r="UA10" s="14"/>
      <c r="UB10" s="14"/>
      <c r="UC10" s="14"/>
      <c r="UD10" s="14"/>
      <c r="UE10" s="14"/>
      <c r="UF10" s="14"/>
      <c r="UG10" s="14"/>
      <c r="UH10" s="14"/>
      <c r="UI10" s="14"/>
      <c r="UJ10" s="14"/>
      <c r="UK10" s="14"/>
      <c r="UL10" s="14"/>
      <c r="UM10" s="14"/>
      <c r="UN10" s="14"/>
      <c r="UO10" s="14"/>
      <c r="UP10" s="14"/>
      <c r="UQ10" s="14"/>
      <c r="UR10" s="14"/>
      <c r="US10" s="14"/>
      <c r="UT10" s="14"/>
      <c r="UU10" s="14"/>
      <c r="UV10" s="14"/>
      <c r="UW10" s="14"/>
      <c r="UX10" s="14"/>
      <c r="UY10" s="14"/>
      <c r="UZ10" s="14"/>
      <c r="VA10" s="14"/>
      <c r="VB10" s="14"/>
      <c r="VC10" s="14"/>
      <c r="VD10" s="14"/>
      <c r="VE10" s="14"/>
      <c r="VF10" s="14"/>
      <c r="VG10" s="14"/>
      <c r="VH10" s="14"/>
      <c r="VI10" s="14"/>
      <c r="VJ10" s="14"/>
      <c r="VK10" s="14"/>
      <c r="VL10" s="14"/>
      <c r="VM10" s="14"/>
      <c r="VN10" s="14"/>
      <c r="VO10" s="14"/>
      <c r="VP10" s="14"/>
      <c r="VQ10" s="14"/>
      <c r="VR10" s="14"/>
      <c r="VS10" s="14"/>
      <c r="VT10" s="14"/>
      <c r="VU10" s="14"/>
      <c r="VV10" s="14"/>
      <c r="VW10" s="14"/>
      <c r="VX10" s="14"/>
      <c r="VY10" s="14"/>
      <c r="VZ10" s="14"/>
      <c r="WA10" s="14"/>
      <c r="WB10" s="14"/>
      <c r="WC10" s="14"/>
      <c r="WD10" s="14"/>
      <c r="WE10" s="14"/>
      <c r="WF10" s="14"/>
      <c r="WG10" s="14"/>
      <c r="WH10" s="14"/>
      <c r="WI10" s="14"/>
      <c r="WJ10" s="14"/>
      <c r="WK10" s="14"/>
      <c r="WL10" s="14"/>
      <c r="WM10" s="14"/>
      <c r="WN10" s="14"/>
      <c r="WO10" s="14"/>
      <c r="WP10" s="14"/>
      <c r="WQ10" s="14"/>
      <c r="WR10" s="14"/>
      <c r="WS10" s="14"/>
      <c r="WT10" s="14"/>
      <c r="WU10" s="14"/>
      <c r="WV10" s="14"/>
      <c r="WW10" s="14"/>
      <c r="WX10" s="14"/>
      <c r="WY10" s="14"/>
      <c r="WZ10" s="14"/>
      <c r="XA10" s="14"/>
      <c r="XB10" s="14"/>
      <c r="XC10" s="14"/>
      <c r="XD10" s="14"/>
      <c r="XE10" s="14"/>
      <c r="XF10" s="14"/>
      <c r="XG10" s="14"/>
      <c r="XH10" s="14"/>
      <c r="XI10" s="14"/>
      <c r="XJ10" s="14"/>
      <c r="XK10" s="14"/>
      <c r="XL10" s="14"/>
      <c r="XM10" s="14"/>
      <c r="XN10" s="14"/>
      <c r="XO10" s="14"/>
      <c r="XP10" s="14"/>
      <c r="XQ10" s="14"/>
      <c r="XR10" s="14"/>
      <c r="XS10" s="14"/>
      <c r="XT10" s="14"/>
      <c r="XU10" s="14"/>
      <c r="XV10" s="14"/>
      <c r="XW10" s="14"/>
      <c r="XX10" s="14"/>
      <c r="XY10" s="14"/>
      <c r="XZ10" s="14"/>
      <c r="YA10" s="14"/>
      <c r="YB10" s="14"/>
      <c r="YC10" s="14"/>
      <c r="YD10" s="14"/>
      <c r="YE10" s="14"/>
      <c r="YF10" s="14"/>
      <c r="YG10" s="14"/>
      <c r="YH10" s="14"/>
      <c r="YI10" s="14"/>
      <c r="YJ10" s="14"/>
      <c r="YK10" s="14"/>
      <c r="YL10" s="14"/>
      <c r="YM10" s="14"/>
      <c r="YN10" s="14"/>
      <c r="YO10" s="14"/>
      <c r="YP10" s="14"/>
      <c r="YQ10" s="14"/>
      <c r="YR10" s="14"/>
      <c r="YS10" s="14"/>
      <c r="YT10" s="14"/>
      <c r="YU10" s="14"/>
      <c r="YV10" s="14"/>
      <c r="YW10" s="14"/>
      <c r="YX10" s="14"/>
      <c r="YY10" s="14"/>
      <c r="YZ10" s="14"/>
      <c r="ZA10" s="14"/>
      <c r="ZB10" s="14"/>
      <c r="ZC10" s="14"/>
      <c r="ZD10" s="14"/>
      <c r="ZE10" s="14"/>
      <c r="ZF10" s="14"/>
      <c r="ZG10" s="14"/>
      <c r="ZH10" s="14"/>
      <c r="ZI10" s="14"/>
      <c r="ZJ10" s="14"/>
      <c r="ZK10" s="14"/>
      <c r="ZL10" s="14"/>
      <c r="ZM10" s="14"/>
      <c r="ZN10" s="14"/>
      <c r="ZO10" s="14"/>
      <c r="ZP10" s="14"/>
      <c r="ZQ10" s="14"/>
      <c r="ZR10" s="14"/>
      <c r="ZS10" s="14"/>
      <c r="ZT10" s="14"/>
      <c r="ZU10" s="14"/>
      <c r="ZV10" s="14"/>
      <c r="ZW10" s="14"/>
      <c r="ZX10" s="14"/>
      <c r="ZY10" s="14"/>
      <c r="ZZ10" s="14"/>
      <c r="AAA10" s="14"/>
      <c r="AAB10" s="14"/>
      <c r="AAC10" s="14"/>
      <c r="AAD10" s="14"/>
      <c r="AAE10" s="14"/>
      <c r="AAF10" s="14"/>
      <c r="AAG10" s="14"/>
      <c r="AAH10" s="14"/>
      <c r="AAI10" s="14"/>
      <c r="AAJ10" s="14"/>
      <c r="AAK10" s="14"/>
      <c r="AAL10" s="14"/>
      <c r="AAM10" s="14"/>
    </row>
    <row r="11" spans="1:715">
      <c r="A11" s="14"/>
      <c r="B11" s="13"/>
      <c r="C11" s="14"/>
      <c r="D11" s="14"/>
      <c r="E11" s="14"/>
      <c r="F11" s="14"/>
      <c r="G11" s="14"/>
      <c r="H11" s="14"/>
      <c r="I11" s="14"/>
      <c r="J11" s="14"/>
      <c r="K11" s="14"/>
      <c r="L11" s="14"/>
      <c r="M11" s="14"/>
      <c r="N11" s="14"/>
      <c r="O11" s="14"/>
      <c r="P11" s="14"/>
      <c r="Q11" s="14"/>
      <c r="R11" s="14"/>
      <c r="S11" s="14"/>
      <c r="T11" s="14"/>
      <c r="U11" s="14"/>
      <c r="V11" s="14"/>
      <c r="W11" s="14"/>
      <c r="X11" s="14"/>
      <c r="Y11" s="38"/>
      <c r="Z11" s="14"/>
      <c r="AA11" s="14"/>
      <c r="AB11" s="14"/>
      <c r="AC11" s="14"/>
      <c r="AD11" s="14"/>
      <c r="AE11" s="14"/>
      <c r="AF11" s="14"/>
      <c r="AG11" s="14"/>
      <c r="AH11" s="14"/>
      <c r="AI11" s="14"/>
      <c r="AJ11" s="14"/>
      <c r="AK11" s="14"/>
      <c r="AL11" s="14"/>
      <c r="AM11" s="14"/>
      <c r="AN11" s="14"/>
      <c r="AO11" s="14"/>
      <c r="AP11" s="14"/>
      <c r="AQ11" s="14"/>
      <c r="AR11" s="14"/>
      <c r="AS11" s="14"/>
      <c r="AT11" s="14"/>
      <c r="AU11" s="14"/>
      <c r="AV11" s="14"/>
      <c r="AW11" s="14"/>
      <c r="AX11" s="14"/>
      <c r="AY11" s="14"/>
      <c r="AZ11" s="14"/>
      <c r="BA11" s="14"/>
      <c r="BB11" s="14"/>
      <c r="BC11" s="14"/>
      <c r="BD11" s="14"/>
      <c r="BE11" s="14"/>
      <c r="BF11" s="14"/>
      <c r="BG11" s="14"/>
      <c r="BH11" s="14"/>
      <c r="BI11" s="14"/>
      <c r="BJ11" s="14"/>
      <c r="BK11" s="14"/>
      <c r="BL11" s="14"/>
      <c r="BM11" s="14"/>
      <c r="BN11" s="14"/>
      <c r="BO11" s="14"/>
      <c r="BP11" s="14"/>
      <c r="BQ11" s="14"/>
      <c r="BR11" s="14"/>
      <c r="BS11" s="14"/>
      <c r="BT11" s="14"/>
      <c r="BU11" s="14"/>
      <c r="BV11" s="14"/>
      <c r="BW11" s="14"/>
      <c r="BX11" s="14"/>
      <c r="BY11" s="14"/>
      <c r="BZ11" s="14"/>
      <c r="CA11" s="14"/>
      <c r="CB11" s="14"/>
      <c r="CC11" s="14"/>
      <c r="CD11" s="14"/>
      <c r="CE11" s="14"/>
      <c r="CF11" s="14"/>
      <c r="CG11" s="14"/>
      <c r="CH11" s="14"/>
      <c r="CI11" s="14"/>
      <c r="CJ11" s="14"/>
      <c r="CK11" s="14"/>
      <c r="CL11" s="14"/>
      <c r="CM11" s="14"/>
      <c r="CN11" s="14"/>
      <c r="CO11" s="14"/>
      <c r="CP11" s="14"/>
      <c r="CQ11" s="14"/>
      <c r="CR11" s="14"/>
      <c r="CS11" s="14"/>
      <c r="CT11" s="14"/>
      <c r="CU11" s="14"/>
      <c r="CV11" s="14"/>
      <c r="CW11" s="14"/>
      <c r="CX11" s="14"/>
      <c r="CY11" s="14"/>
      <c r="CZ11" s="14"/>
      <c r="DA11" s="14"/>
      <c r="DB11" s="14"/>
      <c r="DC11" s="14"/>
      <c r="DD11" s="14"/>
      <c r="DE11" s="14"/>
      <c r="DF11" s="14"/>
      <c r="DG11" s="14"/>
      <c r="DH11" s="14"/>
      <c r="DI11" s="14"/>
      <c r="DJ11" s="14"/>
      <c r="DK11" s="14"/>
      <c r="DL11" s="14"/>
      <c r="DM11" s="14"/>
      <c r="DN11" s="14"/>
      <c r="DO11" s="14"/>
      <c r="DP11" s="14"/>
      <c r="DQ11" s="14"/>
      <c r="DR11" s="14"/>
      <c r="DS11" s="14"/>
      <c r="DT11" s="14"/>
      <c r="DU11" s="14"/>
      <c r="DV11" s="14"/>
      <c r="DW11" s="14"/>
      <c r="DX11" s="14"/>
      <c r="DY11" s="14"/>
      <c r="DZ11" s="14"/>
      <c r="EA11" s="14"/>
      <c r="EB11" s="14"/>
      <c r="EC11" s="14"/>
      <c r="ED11" s="14"/>
      <c r="EE11" s="14"/>
      <c r="EF11" s="14"/>
      <c r="EG11" s="14"/>
      <c r="EH11" s="14"/>
      <c r="EI11" s="14"/>
      <c r="EJ11" s="14"/>
      <c r="EK11" s="14"/>
      <c r="EL11" s="14"/>
      <c r="EM11" s="14"/>
      <c r="EN11" s="14"/>
      <c r="EO11" s="14"/>
      <c r="EP11" s="14"/>
      <c r="EQ11" s="14"/>
      <c r="ER11" s="14"/>
      <c r="ES11" s="14"/>
      <c r="ET11" s="14"/>
      <c r="EU11" s="14"/>
      <c r="EV11" s="14"/>
      <c r="EW11" s="14"/>
      <c r="EX11" s="14"/>
      <c r="EY11" s="14"/>
      <c r="EZ11" s="14"/>
      <c r="FA11" s="14"/>
      <c r="FB11" s="14"/>
      <c r="FC11" s="14"/>
      <c r="FD11" s="14"/>
      <c r="FE11" s="14"/>
      <c r="FF11" s="14"/>
      <c r="FG11" s="14"/>
      <c r="FH11" s="14"/>
      <c r="FI11" s="14"/>
      <c r="FJ11" s="14"/>
      <c r="FK11" s="14"/>
      <c r="FL11" s="14"/>
      <c r="FM11" s="14"/>
      <c r="FN11" s="14"/>
      <c r="FO11" s="14"/>
      <c r="FP11" s="14"/>
      <c r="FQ11" s="14"/>
      <c r="FR11" s="14"/>
      <c r="FS11" s="14"/>
      <c r="FT11" s="14"/>
      <c r="FU11" s="14"/>
      <c r="FV11" s="14"/>
      <c r="FW11" s="14"/>
      <c r="FX11" s="14"/>
      <c r="FY11" s="14"/>
      <c r="FZ11" s="14"/>
      <c r="GA11" s="14"/>
      <c r="GB11" s="14"/>
      <c r="GC11" s="14"/>
      <c r="GD11" s="14"/>
      <c r="GE11" s="14"/>
      <c r="GF11" s="14"/>
      <c r="GG11" s="14"/>
      <c r="GH11" s="14"/>
      <c r="GI11" s="14"/>
      <c r="GJ11" s="14"/>
      <c r="GK11" s="14"/>
      <c r="GL11" s="14"/>
      <c r="GM11" s="14"/>
      <c r="GN11" s="14"/>
      <c r="GO11" s="14"/>
      <c r="GP11" s="14"/>
      <c r="GQ11" s="14"/>
      <c r="GR11" s="14"/>
      <c r="GS11" s="14"/>
      <c r="GT11" s="14"/>
      <c r="GU11" s="14"/>
      <c r="GV11" s="14"/>
      <c r="GW11" s="14"/>
      <c r="GX11" s="14"/>
      <c r="GY11" s="14"/>
      <c r="GZ11" s="14"/>
      <c r="HA11" s="14"/>
      <c r="HB11" s="14"/>
      <c r="HC11" s="14"/>
      <c r="HD11" s="14"/>
      <c r="HE11" s="14"/>
      <c r="HF11" s="14"/>
      <c r="HG11" s="14"/>
      <c r="HH11" s="14"/>
      <c r="HI11" s="14"/>
      <c r="HJ11" s="14"/>
      <c r="HK11" s="14"/>
      <c r="HL11" s="14"/>
      <c r="HM11" s="14"/>
      <c r="HN11" s="14"/>
      <c r="HO11" s="14"/>
      <c r="HP11" s="14"/>
      <c r="HQ11" s="14"/>
      <c r="HR11" s="14"/>
      <c r="HS11" s="14"/>
      <c r="HT11" s="14"/>
      <c r="HU11" s="14"/>
      <c r="HV11" s="14"/>
      <c r="HW11" s="14"/>
      <c r="HX11" s="14"/>
      <c r="HY11" s="14"/>
      <c r="HZ11" s="14"/>
      <c r="IA11" s="14"/>
      <c r="IB11" s="14"/>
      <c r="IC11" s="14"/>
      <c r="ID11" s="14"/>
      <c r="IE11" s="14"/>
      <c r="IF11" s="14"/>
      <c r="IG11" s="14"/>
      <c r="IH11" s="14"/>
      <c r="II11" s="14"/>
      <c r="IJ11" s="14"/>
      <c r="IK11" s="14"/>
      <c r="IL11" s="14"/>
      <c r="IM11" s="14"/>
      <c r="IN11" s="14"/>
      <c r="IO11" s="14"/>
      <c r="IP11" s="14"/>
      <c r="IQ11" s="14"/>
      <c r="IR11" s="14"/>
      <c r="IS11" s="14"/>
      <c r="IT11" s="14"/>
      <c r="IU11" s="14"/>
      <c r="IV11" s="14"/>
      <c r="IW11" s="14"/>
      <c r="IX11" s="14"/>
      <c r="IY11" s="14"/>
      <c r="IZ11" s="14"/>
      <c r="JA11" s="14"/>
      <c r="JB11" s="14"/>
      <c r="JC11" s="14"/>
      <c r="JD11" s="14"/>
      <c r="JE11" s="14"/>
      <c r="JF11" s="14"/>
      <c r="JG11" s="14"/>
      <c r="JH11" s="14"/>
      <c r="JI11" s="14"/>
      <c r="JJ11" s="14"/>
      <c r="JK11" s="14"/>
      <c r="JL11" s="14"/>
      <c r="JM11" s="14"/>
      <c r="JN11" s="14"/>
      <c r="JO11" s="14"/>
      <c r="JP11" s="14"/>
      <c r="JQ11" s="14"/>
      <c r="JR11" s="14"/>
      <c r="JS11" s="14"/>
      <c r="JT11" s="14"/>
      <c r="JU11" s="14"/>
      <c r="JV11" s="14"/>
      <c r="JW11" s="14"/>
      <c r="JX11" s="14"/>
      <c r="JY11" s="14"/>
      <c r="JZ11" s="14"/>
      <c r="KA11" s="14"/>
      <c r="KB11" s="14"/>
      <c r="KC11" s="14"/>
      <c r="KD11" s="14"/>
      <c r="KE11" s="14"/>
      <c r="KF11" s="14"/>
      <c r="KG11" s="14"/>
      <c r="KH11" s="14"/>
      <c r="KI11" s="14"/>
      <c r="KJ11" s="14"/>
      <c r="KK11" s="14"/>
      <c r="KL11" s="14"/>
      <c r="KM11" s="14"/>
      <c r="KN11" s="14"/>
      <c r="KO11" s="14"/>
      <c r="KP11" s="14"/>
      <c r="KQ11" s="14"/>
      <c r="KR11" s="14"/>
      <c r="KS11" s="14"/>
      <c r="KT11" s="14"/>
      <c r="KU11" s="14"/>
      <c r="KV11" s="14"/>
      <c r="KW11" s="14"/>
      <c r="KX11" s="14"/>
      <c r="KY11" s="14"/>
      <c r="KZ11" s="14"/>
      <c r="LA11" s="14"/>
      <c r="LB11" s="14"/>
      <c r="LC11" s="14"/>
      <c r="LD11" s="14"/>
      <c r="LE11" s="14"/>
      <c r="LF11" s="14"/>
      <c r="LG11" s="14"/>
      <c r="LH11" s="14"/>
      <c r="LI11" s="14"/>
      <c r="LJ11" s="14"/>
      <c r="LK11" s="14"/>
      <c r="LL11" s="14"/>
      <c r="LM11" s="14"/>
      <c r="LN11" s="14"/>
      <c r="LO11" s="14"/>
      <c r="LP11" s="14"/>
      <c r="LQ11" s="14"/>
      <c r="LR11" s="14"/>
      <c r="LS11" s="14"/>
      <c r="LT11" s="14"/>
      <c r="LU11" s="14"/>
      <c r="LV11" s="14"/>
      <c r="LW11" s="14"/>
      <c r="LX11" s="14"/>
      <c r="LY11" s="14"/>
      <c r="LZ11" s="14"/>
      <c r="MA11" s="14"/>
      <c r="MB11" s="14"/>
      <c r="MC11" s="14"/>
      <c r="MD11" s="14"/>
      <c r="ME11" s="14"/>
      <c r="MF11" s="14"/>
      <c r="MG11" s="14"/>
      <c r="MH11" s="14"/>
      <c r="MI11" s="14"/>
      <c r="MJ11" s="14"/>
      <c r="MK11" s="14"/>
      <c r="ML11" s="14"/>
      <c r="MM11" s="14"/>
      <c r="MN11" s="14"/>
      <c r="MO11" s="14"/>
      <c r="MP11" s="14"/>
      <c r="MQ11" s="14"/>
      <c r="MR11" s="14"/>
      <c r="MS11" s="14"/>
      <c r="MT11" s="14"/>
      <c r="MU11" s="14"/>
      <c r="MV11" s="14"/>
      <c r="MW11" s="14"/>
      <c r="MX11" s="14"/>
      <c r="MY11" s="14"/>
      <c r="MZ11" s="14"/>
      <c r="NA11" s="14"/>
      <c r="NB11" s="14"/>
      <c r="NC11" s="14"/>
      <c r="ND11" s="14"/>
      <c r="NE11" s="14"/>
      <c r="NF11" s="14"/>
      <c r="NG11" s="14"/>
      <c r="NH11" s="14"/>
      <c r="NI11" s="14"/>
      <c r="NJ11" s="14"/>
      <c r="NK11" s="14"/>
      <c r="NL11" s="14"/>
      <c r="NM11" s="14"/>
      <c r="NN11" s="14"/>
      <c r="NO11" s="14"/>
      <c r="NP11" s="14"/>
      <c r="NQ11" s="14"/>
      <c r="NR11" s="14"/>
      <c r="NS11" s="14"/>
      <c r="NT11" s="14"/>
      <c r="NU11" s="14"/>
      <c r="NV11" s="14"/>
      <c r="NW11" s="14"/>
      <c r="NX11" s="14"/>
      <c r="NY11" s="14"/>
      <c r="NZ11" s="14"/>
      <c r="OA11" s="14"/>
      <c r="OB11" s="14"/>
      <c r="OC11" s="14"/>
      <c r="OD11" s="14"/>
      <c r="OE11" s="14"/>
      <c r="OF11" s="14"/>
      <c r="OG11" s="14"/>
      <c r="OH11" s="14"/>
      <c r="OI11" s="14"/>
      <c r="OJ11" s="14"/>
      <c r="OK11" s="14"/>
      <c r="OL11" s="14"/>
      <c r="OM11" s="14"/>
      <c r="ON11" s="14"/>
      <c r="OO11" s="14"/>
      <c r="OP11" s="14"/>
      <c r="OQ11" s="14"/>
      <c r="OR11" s="14"/>
      <c r="OS11" s="14"/>
      <c r="OT11" s="14"/>
      <c r="OU11" s="14"/>
      <c r="OV11" s="14"/>
      <c r="OW11" s="14"/>
      <c r="OX11" s="14"/>
      <c r="OY11" s="14"/>
      <c r="OZ11" s="14"/>
      <c r="PA11" s="14"/>
      <c r="PB11" s="14"/>
      <c r="PC11" s="14"/>
      <c r="PD11" s="14"/>
      <c r="PE11" s="14"/>
      <c r="PF11" s="14"/>
      <c r="PG11" s="14"/>
      <c r="PH11" s="14"/>
      <c r="PI11" s="14"/>
      <c r="PJ11" s="14"/>
      <c r="PK11" s="14"/>
      <c r="PL11" s="14"/>
      <c r="PM11" s="14"/>
      <c r="PN11" s="14"/>
      <c r="PO11" s="14"/>
      <c r="PP11" s="14"/>
      <c r="PQ11" s="14"/>
      <c r="PR11" s="14"/>
      <c r="PS11" s="14"/>
      <c r="PT11" s="14"/>
      <c r="PU11" s="14"/>
      <c r="PV11" s="14"/>
      <c r="PW11" s="14"/>
      <c r="PX11" s="14"/>
      <c r="PY11" s="14"/>
      <c r="PZ11" s="14"/>
      <c r="QA11" s="14"/>
      <c r="QB11" s="14"/>
      <c r="QC11" s="14"/>
      <c r="QD11" s="14"/>
      <c r="QE11" s="14"/>
      <c r="QF11" s="14"/>
      <c r="QG11" s="14"/>
      <c r="QH11" s="14"/>
      <c r="QI11" s="14"/>
      <c r="QJ11" s="14"/>
      <c r="QK11" s="14"/>
      <c r="QL11" s="14"/>
      <c r="QM11" s="14"/>
      <c r="QN11" s="14"/>
      <c r="QO11" s="14"/>
      <c r="QP11" s="14"/>
      <c r="QQ11" s="14"/>
      <c r="QR11" s="14"/>
      <c r="QS11" s="14"/>
      <c r="QT11" s="14"/>
      <c r="QU11" s="14"/>
      <c r="QV11" s="14"/>
      <c r="QW11" s="14"/>
      <c r="QX11" s="14"/>
      <c r="QY11" s="14"/>
      <c r="QZ11" s="14"/>
      <c r="RA11" s="14"/>
      <c r="RB11" s="14"/>
      <c r="RC11" s="14"/>
      <c r="RD11" s="14"/>
      <c r="RE11" s="14"/>
      <c r="RF11" s="14"/>
      <c r="RG11" s="14"/>
      <c r="RH11" s="14"/>
      <c r="RI11" s="14"/>
      <c r="RJ11" s="14"/>
      <c r="RK11" s="14"/>
      <c r="RL11" s="14"/>
      <c r="RM11" s="14"/>
      <c r="RN11" s="14"/>
      <c r="RO11" s="14"/>
      <c r="RP11" s="14"/>
      <c r="RQ11" s="14"/>
      <c r="RR11" s="14"/>
      <c r="RS11" s="14"/>
      <c r="RT11" s="14"/>
      <c r="RU11" s="14"/>
      <c r="RV11" s="14"/>
      <c r="RW11" s="14"/>
      <c r="RX11" s="14"/>
      <c r="RY11" s="14"/>
      <c r="RZ11" s="14"/>
      <c r="SA11" s="14"/>
      <c r="SB11" s="14"/>
      <c r="SC11" s="14"/>
      <c r="SD11" s="14"/>
      <c r="SE11" s="14"/>
      <c r="SF11" s="14"/>
      <c r="SG11" s="14"/>
      <c r="SH11" s="14"/>
      <c r="SI11" s="14"/>
      <c r="SJ11" s="14"/>
      <c r="SK11" s="14"/>
      <c r="SL11" s="14"/>
      <c r="SM11" s="14"/>
      <c r="SN11" s="14"/>
      <c r="SO11" s="14"/>
      <c r="SP11" s="14"/>
      <c r="SQ11" s="14"/>
      <c r="SR11" s="14"/>
      <c r="SS11" s="14"/>
      <c r="ST11" s="14"/>
      <c r="SU11" s="14"/>
      <c r="SV11" s="14"/>
      <c r="SW11" s="14"/>
      <c r="SX11" s="14"/>
      <c r="SY11" s="14"/>
      <c r="SZ11" s="14"/>
      <c r="TA11" s="14"/>
      <c r="TB11" s="14"/>
      <c r="TC11" s="14"/>
      <c r="TD11" s="14"/>
      <c r="TE11" s="14"/>
      <c r="TF11" s="14"/>
      <c r="TG11" s="14"/>
      <c r="TH11" s="14"/>
      <c r="TI11" s="14"/>
      <c r="TJ11" s="14"/>
      <c r="TK11" s="14"/>
      <c r="TL11" s="14"/>
      <c r="TM11" s="14"/>
      <c r="TN11" s="14"/>
      <c r="TO11" s="14"/>
      <c r="TP11" s="14"/>
      <c r="TQ11" s="14"/>
      <c r="TR11" s="14"/>
      <c r="TS11" s="14"/>
      <c r="TT11" s="14"/>
      <c r="TU11" s="14"/>
      <c r="TV11" s="14"/>
      <c r="TW11" s="14"/>
      <c r="TX11" s="14"/>
      <c r="TY11" s="14"/>
      <c r="TZ11" s="14"/>
      <c r="UA11" s="14"/>
      <c r="UB11" s="14"/>
      <c r="UC11" s="14"/>
      <c r="UD11" s="14"/>
      <c r="UE11" s="14"/>
      <c r="UF11" s="14"/>
      <c r="UG11" s="14"/>
      <c r="UH11" s="14"/>
      <c r="UI11" s="14"/>
      <c r="UJ11" s="14"/>
      <c r="UK11" s="14"/>
      <c r="UL11" s="14"/>
      <c r="UM11" s="14"/>
      <c r="UN11" s="14"/>
      <c r="UO11" s="14"/>
      <c r="UP11" s="14"/>
      <c r="UQ11" s="14"/>
      <c r="UR11" s="14"/>
      <c r="US11" s="14"/>
      <c r="UT11" s="14"/>
      <c r="UU11" s="14"/>
      <c r="UV11" s="14"/>
      <c r="UW11" s="14"/>
      <c r="UX11" s="14"/>
      <c r="UY11" s="14"/>
      <c r="UZ11" s="14"/>
      <c r="VA11" s="14"/>
      <c r="VB11" s="14"/>
      <c r="VC11" s="14"/>
      <c r="VD11" s="14"/>
      <c r="VE11" s="14"/>
      <c r="VF11" s="14"/>
      <c r="VG11" s="14"/>
      <c r="VH11" s="14"/>
      <c r="VI11" s="14"/>
      <c r="VJ11" s="14"/>
      <c r="VK11" s="14"/>
      <c r="VL11" s="14"/>
      <c r="VM11" s="14"/>
      <c r="VN11" s="14"/>
      <c r="VO11" s="14"/>
      <c r="VP11" s="14"/>
      <c r="VQ11" s="14"/>
      <c r="VR11" s="14"/>
      <c r="VS11" s="14"/>
      <c r="VT11" s="14"/>
      <c r="VU11" s="14"/>
      <c r="VV11" s="14"/>
      <c r="VW11" s="14"/>
      <c r="VX11" s="14"/>
      <c r="VY11" s="14"/>
      <c r="VZ11" s="14"/>
      <c r="WA11" s="14"/>
      <c r="WB11" s="14"/>
      <c r="WC11" s="14"/>
      <c r="WD11" s="14"/>
      <c r="WE11" s="14"/>
      <c r="WF11" s="14"/>
      <c r="WG11" s="14"/>
      <c r="WH11" s="14"/>
      <c r="WI11" s="14"/>
      <c r="WJ11" s="14"/>
      <c r="WK11" s="14"/>
      <c r="WL11" s="14"/>
      <c r="WM11" s="14"/>
      <c r="WN11" s="14"/>
      <c r="WO11" s="14"/>
      <c r="WP11" s="14"/>
      <c r="WQ11" s="14"/>
      <c r="WR11" s="14"/>
      <c r="WS11" s="14"/>
      <c r="WT11" s="14"/>
      <c r="WU11" s="14"/>
      <c r="WV11" s="14"/>
      <c r="WW11" s="14"/>
      <c r="WX11" s="14"/>
      <c r="WY11" s="14"/>
      <c r="WZ11" s="14"/>
      <c r="XA11" s="14"/>
      <c r="XB11" s="14"/>
      <c r="XC11" s="14"/>
      <c r="XD11" s="14"/>
      <c r="XE11" s="14"/>
      <c r="XF11" s="14"/>
      <c r="XG11" s="14"/>
      <c r="XH11" s="14"/>
      <c r="XI11" s="14"/>
      <c r="XJ11" s="14"/>
      <c r="XK11" s="14"/>
      <c r="XL11" s="14"/>
      <c r="XM11" s="14"/>
      <c r="XN11" s="14"/>
      <c r="XO11" s="14"/>
      <c r="XP11" s="14"/>
      <c r="XQ11" s="14"/>
      <c r="XR11" s="14"/>
      <c r="XS11" s="14"/>
      <c r="XT11" s="14"/>
      <c r="XU11" s="14"/>
      <c r="XV11" s="14"/>
      <c r="XW11" s="14"/>
      <c r="XX11" s="14"/>
      <c r="XY11" s="14"/>
      <c r="XZ11" s="14"/>
      <c r="YA11" s="14"/>
      <c r="YB11" s="14"/>
      <c r="YC11" s="14"/>
      <c r="YD11" s="14"/>
      <c r="YE11" s="14"/>
      <c r="YF11" s="14"/>
      <c r="YG11" s="14"/>
      <c r="YH11" s="14"/>
      <c r="YI11" s="14"/>
      <c r="YJ11" s="14"/>
      <c r="YK11" s="14"/>
      <c r="YL11" s="14"/>
      <c r="YM11" s="14"/>
      <c r="YN11" s="14"/>
      <c r="YO11" s="14"/>
      <c r="YP11" s="14"/>
      <c r="YQ11" s="14"/>
      <c r="YR11" s="14"/>
      <c r="YS11" s="14"/>
      <c r="YT11" s="14"/>
      <c r="YU11" s="14"/>
      <c r="YV11" s="14"/>
      <c r="YW11" s="14"/>
      <c r="YX11" s="14"/>
      <c r="YY11" s="14"/>
      <c r="YZ11" s="14"/>
      <c r="ZA11" s="14"/>
      <c r="ZB11" s="14"/>
      <c r="ZC11" s="14"/>
      <c r="ZD11" s="14"/>
      <c r="ZE11" s="14"/>
      <c r="ZF11" s="14"/>
      <c r="ZG11" s="14"/>
      <c r="ZH11" s="14"/>
      <c r="ZI11" s="14"/>
      <c r="ZJ11" s="14"/>
      <c r="ZK11" s="14"/>
      <c r="ZL11" s="14"/>
      <c r="ZM11" s="14"/>
      <c r="ZN11" s="14"/>
      <c r="ZO11" s="14"/>
      <c r="ZP11" s="14"/>
      <c r="ZQ11" s="14"/>
      <c r="ZR11" s="14"/>
      <c r="ZS11" s="14"/>
      <c r="ZT11" s="14"/>
      <c r="ZU11" s="14"/>
      <c r="ZV11" s="14"/>
      <c r="ZW11" s="14"/>
      <c r="ZX11" s="14"/>
      <c r="ZY11" s="14"/>
      <c r="ZZ11" s="14"/>
      <c r="AAA11" s="14"/>
      <c r="AAB11" s="14"/>
      <c r="AAC11" s="14"/>
      <c r="AAD11" s="14"/>
      <c r="AAE11" s="14"/>
      <c r="AAF11" s="14"/>
      <c r="AAG11" s="14"/>
      <c r="AAH11" s="14"/>
      <c r="AAI11" s="14"/>
      <c r="AAJ11" s="14"/>
      <c r="AAK11" s="14"/>
      <c r="AAL11" s="14"/>
      <c r="AAM11" s="14"/>
    </row>
    <row r="12" spans="1:715">
      <c r="A12" s="1" t="s">
        <v>43</v>
      </c>
      <c r="L12" s="1"/>
    </row>
    <row r="13" spans="1:715">
      <c r="A13" s="21" t="s">
        <v>44</v>
      </c>
      <c r="B13" s="22">
        <v>0</v>
      </c>
    </row>
    <row r="14" spans="1:715" s="16" customFormat="1">
      <c r="A14" s="10" t="s">
        <v>45</v>
      </c>
      <c r="B14" s="11">
        <v>3</v>
      </c>
      <c r="C14"/>
      <c r="D14"/>
      <c r="E14"/>
      <c r="F14"/>
      <c r="G14"/>
      <c r="H14"/>
      <c r="I14"/>
      <c r="J14"/>
      <c r="K14"/>
      <c r="L14"/>
      <c r="M14"/>
      <c r="N14"/>
      <c r="O14"/>
      <c r="P14"/>
      <c r="Q14"/>
      <c r="R14"/>
      <c r="S14"/>
      <c r="T14"/>
      <c r="U14"/>
      <c r="V14"/>
      <c r="W14"/>
      <c r="X14"/>
      <c r="Y14"/>
      <c r="Z14"/>
      <c r="AA14"/>
      <c r="AB14"/>
      <c r="AC14"/>
      <c r="AD14"/>
      <c r="AE14"/>
      <c r="AF14"/>
      <c r="AG14"/>
      <c r="AH14"/>
      <c r="AI14"/>
      <c r="AJ14"/>
      <c r="AK14"/>
      <c r="AL14"/>
      <c r="AM14"/>
      <c r="AN14"/>
      <c r="AO14"/>
      <c r="AP14"/>
      <c r="AQ14"/>
      <c r="AR14"/>
      <c r="AS14"/>
      <c r="AT14"/>
      <c r="AU14"/>
      <c r="AV14"/>
      <c r="AW14"/>
      <c r="AX14"/>
      <c r="AY14"/>
      <c r="AZ14"/>
      <c r="BA14"/>
      <c r="BB14"/>
      <c r="BC14"/>
      <c r="BD14"/>
      <c r="BE14"/>
      <c r="BF14"/>
      <c r="BG14"/>
      <c r="BH14"/>
      <c r="BI14"/>
      <c r="BJ14"/>
      <c r="BK14"/>
      <c r="BL14"/>
      <c r="BM14"/>
      <c r="BN14"/>
      <c r="BO14"/>
      <c r="BP14"/>
      <c r="BQ14"/>
      <c r="BR14"/>
      <c r="BS14"/>
      <c r="BT14"/>
      <c r="BU14"/>
      <c r="BV14"/>
      <c r="BW14"/>
      <c r="BX14"/>
      <c r="BY14"/>
      <c r="BZ14"/>
      <c r="CA14"/>
      <c r="CB14"/>
      <c r="CC14"/>
      <c r="CD14"/>
      <c r="CE14"/>
      <c r="CF14"/>
      <c r="CG14"/>
      <c r="CH14"/>
      <c r="CI14"/>
      <c r="CJ14"/>
      <c r="CK14"/>
      <c r="CL14"/>
      <c r="CM14"/>
      <c r="CN14"/>
      <c r="CO14"/>
      <c r="CP14"/>
      <c r="CQ14"/>
      <c r="CR14"/>
      <c r="CS14"/>
      <c r="CT14"/>
      <c r="CU14"/>
      <c r="CV14"/>
      <c r="CW14"/>
      <c r="CX14"/>
      <c r="CY14"/>
      <c r="CZ14"/>
      <c r="DA14"/>
      <c r="DB14"/>
      <c r="DC14"/>
      <c r="DD14"/>
      <c r="DE14"/>
      <c r="DF14"/>
      <c r="DG14"/>
      <c r="DH14"/>
      <c r="DI14"/>
      <c r="DJ14"/>
      <c r="DK14"/>
      <c r="DL14"/>
      <c r="DM14"/>
      <c r="DN14"/>
      <c r="DO14"/>
      <c r="DP14"/>
      <c r="DQ14"/>
      <c r="DR14"/>
      <c r="DS14"/>
      <c r="DT14"/>
      <c r="DU14"/>
      <c r="DV14"/>
      <c r="DW14"/>
      <c r="DX14"/>
      <c r="DY14"/>
      <c r="DZ14"/>
      <c r="EA14"/>
      <c r="EB14"/>
      <c r="EC14"/>
      <c r="ED14"/>
      <c r="EE14"/>
      <c r="EF14"/>
      <c r="EG14"/>
      <c r="EH14"/>
      <c r="EI14"/>
      <c r="EJ14"/>
      <c r="EK14"/>
      <c r="EL14"/>
      <c r="EM14"/>
      <c r="EN14"/>
      <c r="EO14"/>
      <c r="EP14"/>
      <c r="EQ14"/>
      <c r="ER14"/>
      <c r="ES14"/>
      <c r="ET14"/>
      <c r="EU14"/>
      <c r="EV14"/>
      <c r="EW14"/>
      <c r="EX14"/>
      <c r="EY14"/>
      <c r="EZ14"/>
      <c r="FA14"/>
      <c r="FB14"/>
      <c r="FC14"/>
      <c r="FD14"/>
      <c r="FE14"/>
      <c r="FF14"/>
      <c r="FG14"/>
      <c r="FH14"/>
      <c r="FI14"/>
      <c r="FJ14"/>
      <c r="FK14"/>
      <c r="FL14"/>
      <c r="FM14"/>
      <c r="FN14"/>
      <c r="FO14"/>
      <c r="FP14"/>
      <c r="FQ14"/>
      <c r="FR14"/>
      <c r="FS14"/>
      <c r="FT14"/>
      <c r="FU14"/>
      <c r="FV14"/>
      <c r="FW14"/>
      <c r="FX14"/>
      <c r="FY14"/>
      <c r="FZ14"/>
      <c r="GA14"/>
      <c r="GB14"/>
      <c r="GC14"/>
      <c r="GD14"/>
      <c r="GE14"/>
      <c r="GF14"/>
      <c r="GG14"/>
      <c r="GH14"/>
      <c r="GI14"/>
      <c r="GJ14"/>
      <c r="GK14"/>
      <c r="GL14"/>
      <c r="GM14"/>
      <c r="GN14"/>
      <c r="GO14"/>
      <c r="GP14"/>
      <c r="GQ14"/>
      <c r="GR14"/>
      <c r="GS14"/>
      <c r="GT14"/>
      <c r="GU14"/>
      <c r="GV14"/>
      <c r="GW14"/>
      <c r="GX14"/>
      <c r="GY14"/>
      <c r="GZ14"/>
      <c r="HA14"/>
      <c r="HB14"/>
      <c r="HC14"/>
      <c r="HD14"/>
      <c r="HE14"/>
      <c r="HF14"/>
      <c r="HG14"/>
      <c r="HH14"/>
      <c r="HI14"/>
      <c r="HJ14"/>
      <c r="HK14"/>
      <c r="HL14"/>
      <c r="HM14"/>
      <c r="HN14"/>
      <c r="HO14"/>
      <c r="HP14"/>
      <c r="HQ14"/>
      <c r="HR14"/>
      <c r="HS14"/>
      <c r="HT14"/>
      <c r="HU14"/>
      <c r="HV14"/>
      <c r="HW14"/>
      <c r="HX14"/>
      <c r="HY14"/>
      <c r="HZ14"/>
      <c r="IA14"/>
      <c r="IB14"/>
      <c r="IC14"/>
      <c r="ID14"/>
      <c r="IE14"/>
      <c r="IF14"/>
      <c r="IG14"/>
      <c r="IH14"/>
      <c r="II14"/>
      <c r="IJ14"/>
      <c r="IK14"/>
      <c r="IL14"/>
      <c r="IM14"/>
      <c r="IN14"/>
      <c r="IO14"/>
      <c r="IP14"/>
      <c r="IQ14"/>
      <c r="IR14"/>
      <c r="IS14"/>
      <c r="IT14"/>
      <c r="IU14"/>
      <c r="IV14"/>
      <c r="IW14"/>
      <c r="IX14"/>
      <c r="IY14"/>
      <c r="IZ14"/>
      <c r="JA14"/>
      <c r="JB14"/>
      <c r="JC14"/>
      <c r="JD14"/>
      <c r="JE14"/>
      <c r="JF14"/>
      <c r="JG14"/>
      <c r="JH14"/>
      <c r="JI14"/>
      <c r="JJ14"/>
      <c r="JK14"/>
      <c r="JL14"/>
      <c r="JM14"/>
      <c r="JN14"/>
      <c r="JO14"/>
      <c r="JP14"/>
      <c r="JQ14"/>
      <c r="JR14"/>
      <c r="JS14"/>
      <c r="JT14"/>
      <c r="JU14"/>
      <c r="JV14"/>
      <c r="JW14"/>
      <c r="JX14"/>
      <c r="JY14"/>
      <c r="JZ14"/>
      <c r="KA14"/>
      <c r="KB14"/>
      <c r="KC14"/>
      <c r="KD14"/>
      <c r="KE14"/>
      <c r="KF14"/>
      <c r="KG14"/>
      <c r="KH14"/>
      <c r="KI14"/>
      <c r="KJ14"/>
      <c r="KK14"/>
      <c r="KL14"/>
      <c r="KM14"/>
      <c r="KN14"/>
      <c r="KO14"/>
      <c r="KP14"/>
      <c r="KQ14"/>
      <c r="KR14"/>
      <c r="KS14"/>
      <c r="KT14"/>
      <c r="KU14"/>
      <c r="KV14"/>
      <c r="KW14"/>
      <c r="KX14"/>
      <c r="KY14"/>
      <c r="KZ14"/>
      <c r="LA14"/>
      <c r="LB14"/>
      <c r="LC14"/>
      <c r="LD14"/>
      <c r="LE14"/>
      <c r="LF14"/>
      <c r="LG14"/>
      <c r="LH14"/>
      <c r="LI14"/>
      <c r="LJ14"/>
      <c r="LK14"/>
      <c r="LL14"/>
      <c r="LM14"/>
      <c r="LN14"/>
      <c r="LO14"/>
      <c r="LP14"/>
      <c r="LQ14"/>
      <c r="LR14"/>
      <c r="LS14"/>
      <c r="LT14"/>
      <c r="LU14"/>
      <c r="LV14"/>
      <c r="LW14"/>
      <c r="LX14"/>
      <c r="LY14"/>
      <c r="LZ14"/>
      <c r="MA14"/>
      <c r="MB14"/>
      <c r="MC14"/>
      <c r="MD14"/>
      <c r="ME14"/>
      <c r="MF14"/>
      <c r="MG14"/>
      <c r="MH14"/>
      <c r="MI14"/>
      <c r="MJ14"/>
      <c r="MK14"/>
      <c r="ML14"/>
      <c r="MM14"/>
      <c r="MN14"/>
      <c r="MO14"/>
      <c r="MP14"/>
      <c r="MQ14"/>
      <c r="MR14"/>
      <c r="MS14"/>
      <c r="MT14"/>
      <c r="MU14"/>
      <c r="MV14"/>
      <c r="MW14"/>
      <c r="MX14"/>
      <c r="MY14"/>
      <c r="MZ14"/>
      <c r="NA14"/>
      <c r="NB14"/>
      <c r="NC14"/>
      <c r="ND14"/>
      <c r="NE14"/>
      <c r="NF14"/>
      <c r="NG14"/>
      <c r="NH14"/>
      <c r="NI14"/>
      <c r="NJ14"/>
      <c r="NK14"/>
      <c r="NL14"/>
      <c r="NM14"/>
      <c r="NN14"/>
      <c r="NO14"/>
      <c r="NP14"/>
      <c r="NQ14"/>
      <c r="NR14"/>
      <c r="NS14"/>
      <c r="NT14"/>
      <c r="NU14"/>
      <c r="NV14"/>
      <c r="NW14"/>
      <c r="NX14"/>
      <c r="NY14"/>
      <c r="NZ14"/>
      <c r="OA14"/>
      <c r="OB14"/>
      <c r="OC14"/>
      <c r="OD14"/>
      <c r="OE14"/>
      <c r="OF14"/>
      <c r="OG14"/>
      <c r="OH14"/>
      <c r="OI14"/>
      <c r="OJ14"/>
      <c r="OK14"/>
      <c r="OL14"/>
      <c r="OM14"/>
      <c r="ON14"/>
      <c r="OO14"/>
      <c r="OP14"/>
      <c r="OQ14"/>
      <c r="OR14"/>
      <c r="OS14"/>
      <c r="OT14"/>
      <c r="OU14"/>
      <c r="OV14"/>
      <c r="OW14"/>
      <c r="OX14"/>
      <c r="OY14"/>
      <c r="OZ14"/>
      <c r="PA14"/>
      <c r="PB14"/>
      <c r="PC14"/>
      <c r="PD14"/>
      <c r="PE14"/>
      <c r="PF14"/>
      <c r="PG14"/>
      <c r="PH14"/>
      <c r="PI14"/>
      <c r="PJ14"/>
      <c r="PK14"/>
      <c r="PL14"/>
      <c r="PM14"/>
      <c r="PN14"/>
      <c r="PO14"/>
      <c r="PP14"/>
      <c r="PQ14"/>
      <c r="PR14"/>
      <c r="PS14"/>
      <c r="PT14"/>
      <c r="PU14"/>
      <c r="PV14"/>
      <c r="PW14"/>
      <c r="PX14"/>
      <c r="PY14"/>
      <c r="PZ14"/>
      <c r="QA14"/>
      <c r="QB14"/>
      <c r="QC14"/>
      <c r="QD14"/>
      <c r="QE14"/>
      <c r="QF14"/>
      <c r="QG14"/>
      <c r="QH14"/>
      <c r="QI14"/>
      <c r="QJ14"/>
      <c r="QK14"/>
      <c r="QL14"/>
      <c r="QM14"/>
      <c r="QN14"/>
      <c r="QO14"/>
      <c r="QP14"/>
      <c r="QQ14"/>
      <c r="QR14"/>
      <c r="QS14"/>
      <c r="QT14"/>
      <c r="QU14"/>
      <c r="QV14"/>
      <c r="QW14"/>
      <c r="QX14"/>
      <c r="QY14"/>
      <c r="QZ14"/>
      <c r="RA14"/>
      <c r="RB14"/>
      <c r="RC14"/>
      <c r="RD14"/>
      <c r="RE14"/>
      <c r="RF14"/>
      <c r="RG14"/>
      <c r="RH14"/>
      <c r="RI14"/>
      <c r="RJ14"/>
      <c r="RK14"/>
      <c r="RL14"/>
      <c r="RM14"/>
      <c r="RN14"/>
      <c r="RO14"/>
      <c r="RP14"/>
      <c r="RQ14"/>
      <c r="RR14"/>
      <c r="RS14"/>
      <c r="RT14"/>
      <c r="RU14"/>
      <c r="RV14"/>
      <c r="RW14"/>
      <c r="RX14"/>
      <c r="RY14"/>
      <c r="RZ14"/>
      <c r="SA14"/>
      <c r="SB14"/>
      <c r="SC14"/>
      <c r="SD14"/>
      <c r="SE14"/>
      <c r="SF14"/>
      <c r="SG14"/>
      <c r="SH14"/>
      <c r="SI14"/>
      <c r="SJ14"/>
      <c r="SK14"/>
      <c r="SL14"/>
      <c r="SM14"/>
      <c r="SN14"/>
      <c r="SO14"/>
      <c r="SP14"/>
      <c r="SQ14"/>
      <c r="SR14"/>
      <c r="SS14"/>
      <c r="ST14"/>
      <c r="SU14"/>
      <c r="SV14"/>
      <c r="SW14"/>
      <c r="SX14"/>
      <c r="SY14"/>
      <c r="SZ14"/>
      <c r="TA14"/>
      <c r="TB14"/>
      <c r="TC14"/>
      <c r="TD14"/>
      <c r="TE14"/>
      <c r="TF14"/>
      <c r="TG14"/>
      <c r="TH14"/>
      <c r="TI14"/>
      <c r="TJ14"/>
      <c r="TK14"/>
      <c r="TL14"/>
      <c r="TM14"/>
      <c r="TN14"/>
      <c r="TO14"/>
      <c r="TP14"/>
      <c r="TQ14"/>
      <c r="TR14"/>
      <c r="TS14"/>
      <c r="TT14"/>
      <c r="TU14"/>
      <c r="TV14"/>
      <c r="TW14"/>
      <c r="TX14"/>
      <c r="TY14"/>
      <c r="TZ14"/>
      <c r="UA14"/>
      <c r="UB14"/>
      <c r="UC14"/>
      <c r="UD14"/>
      <c r="UE14"/>
      <c r="UF14"/>
      <c r="UG14"/>
      <c r="UH14"/>
      <c r="UI14"/>
      <c r="UJ14"/>
      <c r="UK14"/>
      <c r="UL14"/>
      <c r="UM14"/>
      <c r="UN14"/>
      <c r="UO14"/>
      <c r="UP14"/>
      <c r="UQ14"/>
      <c r="UR14"/>
      <c r="US14"/>
      <c r="UT14"/>
      <c r="UU14"/>
      <c r="UV14"/>
      <c r="UW14"/>
      <c r="UX14"/>
      <c r="UY14"/>
      <c r="UZ14"/>
      <c r="VA14"/>
      <c r="VB14"/>
      <c r="VC14"/>
      <c r="VD14"/>
      <c r="VE14"/>
      <c r="VF14"/>
      <c r="VG14"/>
      <c r="VH14"/>
      <c r="VI14"/>
      <c r="VJ14"/>
      <c r="VK14"/>
      <c r="VL14"/>
      <c r="VM14"/>
      <c r="VN14"/>
      <c r="VO14"/>
      <c r="VP14"/>
      <c r="VQ14"/>
      <c r="VR14"/>
      <c r="VS14"/>
      <c r="VT14"/>
      <c r="VU14"/>
      <c r="VV14"/>
      <c r="VW14"/>
      <c r="VX14"/>
      <c r="VY14"/>
      <c r="VZ14"/>
      <c r="WA14"/>
      <c r="WB14"/>
      <c r="WC14"/>
      <c r="WD14"/>
      <c r="WE14"/>
      <c r="WF14"/>
      <c r="WG14"/>
      <c r="WH14"/>
      <c r="WI14"/>
      <c r="WJ14"/>
      <c r="WK14"/>
      <c r="WL14"/>
      <c r="WM14"/>
      <c r="WN14"/>
      <c r="WO14"/>
      <c r="WP14"/>
      <c r="WQ14"/>
      <c r="WR14"/>
      <c r="WS14"/>
      <c r="WT14"/>
      <c r="WU14"/>
      <c r="WV14"/>
      <c r="WW14"/>
      <c r="WX14"/>
      <c r="WY14"/>
      <c r="WZ14"/>
      <c r="XA14"/>
      <c r="XB14"/>
      <c r="XC14"/>
      <c r="XD14"/>
      <c r="XE14"/>
      <c r="XF14"/>
      <c r="XG14"/>
      <c r="XH14"/>
      <c r="XI14"/>
      <c r="XJ14"/>
      <c r="XK14"/>
      <c r="XL14"/>
      <c r="XM14"/>
      <c r="XN14"/>
      <c r="XO14"/>
      <c r="XP14"/>
      <c r="XQ14"/>
      <c r="XR14"/>
      <c r="XS14"/>
      <c r="XT14"/>
      <c r="XU14"/>
      <c r="XV14"/>
      <c r="XW14"/>
      <c r="XX14"/>
      <c r="XY14"/>
      <c r="XZ14"/>
      <c r="YA14"/>
      <c r="YB14"/>
      <c r="YC14"/>
      <c r="YD14"/>
      <c r="YE14"/>
      <c r="YF14"/>
      <c r="YG14"/>
      <c r="YH14"/>
      <c r="YI14"/>
      <c r="YJ14"/>
      <c r="YK14"/>
      <c r="YL14"/>
      <c r="YM14"/>
      <c r="YN14"/>
      <c r="YO14"/>
      <c r="YP14"/>
      <c r="YQ14"/>
      <c r="YR14"/>
      <c r="YS14"/>
      <c r="YT14"/>
      <c r="YU14"/>
      <c r="YV14"/>
      <c r="YW14"/>
      <c r="YX14"/>
      <c r="YY14"/>
      <c r="YZ14"/>
      <c r="ZA14"/>
      <c r="ZB14"/>
      <c r="ZC14"/>
      <c r="ZD14"/>
      <c r="ZE14"/>
      <c r="ZF14"/>
      <c r="ZG14"/>
      <c r="ZH14"/>
      <c r="ZI14"/>
      <c r="ZJ14"/>
      <c r="ZK14"/>
      <c r="ZL14"/>
      <c r="ZM14"/>
      <c r="ZN14"/>
      <c r="ZO14"/>
      <c r="ZP14"/>
      <c r="ZQ14"/>
      <c r="ZR14"/>
      <c r="ZS14"/>
      <c r="ZT14"/>
      <c r="ZU14"/>
      <c r="ZV14"/>
      <c r="ZW14"/>
      <c r="ZX14"/>
      <c r="ZY14"/>
      <c r="ZZ14"/>
      <c r="AAA14"/>
      <c r="AAB14"/>
      <c r="AAC14"/>
      <c r="AAD14"/>
      <c r="AAE14"/>
      <c r="AAF14"/>
      <c r="AAG14"/>
      <c r="AAH14"/>
      <c r="AAI14"/>
      <c r="AAJ14"/>
      <c r="AAK14"/>
      <c r="AAL14"/>
      <c r="AAM14"/>
    </row>
    <row r="15" spans="1:715" s="14" customFormat="1" ht="13.5" customHeight="1">
      <c r="A15" s="6" t="s">
        <v>46</v>
      </c>
      <c r="B15" s="7">
        <v>6</v>
      </c>
      <c r="C15"/>
      <c r="D15"/>
      <c r="E15"/>
      <c r="F15"/>
      <c r="G15"/>
      <c r="H15"/>
      <c r="I15"/>
      <c r="J15"/>
      <c r="K15"/>
      <c r="L15"/>
      <c r="M15"/>
      <c r="N15"/>
      <c r="O15"/>
      <c r="P15"/>
      <c r="Q15"/>
      <c r="R15"/>
      <c r="S15"/>
      <c r="T15"/>
      <c r="U15"/>
      <c r="V15"/>
      <c r="W15"/>
      <c r="X15"/>
      <c r="Y15"/>
      <c r="Z15"/>
      <c r="AA15"/>
      <c r="AB15"/>
      <c r="AC15"/>
      <c r="AD15"/>
      <c r="AE15"/>
      <c r="AF15"/>
      <c r="AG15"/>
      <c r="AH15"/>
      <c r="AI15"/>
      <c r="AJ15"/>
      <c r="AK15"/>
      <c r="AL15"/>
      <c r="AM15"/>
      <c r="AN15"/>
      <c r="AO15"/>
      <c r="AP15"/>
      <c r="AQ15"/>
      <c r="AR15"/>
      <c r="AS15"/>
      <c r="AT15"/>
      <c r="AU15"/>
      <c r="AV15"/>
      <c r="AW15"/>
      <c r="AX15"/>
      <c r="AY15"/>
      <c r="AZ15"/>
      <c r="BA15"/>
      <c r="BB15"/>
      <c r="BC15"/>
      <c r="BD15"/>
      <c r="BE15"/>
      <c r="BF15"/>
      <c r="BG15"/>
      <c r="BH15"/>
      <c r="BI15"/>
      <c r="BJ15"/>
      <c r="BK15"/>
      <c r="BL15"/>
      <c r="BM15"/>
      <c r="BN15"/>
      <c r="BO15"/>
      <c r="BP15"/>
      <c r="BQ15"/>
      <c r="BR15"/>
      <c r="BS15"/>
      <c r="BT15"/>
      <c r="BU15"/>
      <c r="BV15"/>
      <c r="BW15"/>
      <c r="BX15"/>
      <c r="BY15"/>
      <c r="BZ15"/>
      <c r="CA15"/>
      <c r="CB15"/>
      <c r="CC15"/>
      <c r="CD15"/>
      <c r="CE15"/>
      <c r="CF15"/>
      <c r="CG15"/>
      <c r="CH15"/>
      <c r="CI15"/>
      <c r="CJ15"/>
      <c r="CK15"/>
      <c r="CL15"/>
      <c r="CM15"/>
      <c r="CN15"/>
      <c r="CO15"/>
      <c r="CP15"/>
      <c r="CQ15"/>
      <c r="CR15"/>
      <c r="CS15"/>
      <c r="CT15"/>
      <c r="CU15"/>
      <c r="CV15"/>
      <c r="CW15"/>
      <c r="CX15"/>
      <c r="CY15"/>
      <c r="CZ15"/>
      <c r="DA15"/>
      <c r="DB15"/>
      <c r="DC15"/>
      <c r="DD15"/>
      <c r="DE15"/>
      <c r="DF15"/>
      <c r="DG15"/>
      <c r="DH15"/>
      <c r="DI15"/>
      <c r="DJ15"/>
      <c r="DK15"/>
      <c r="DL15"/>
      <c r="DM15"/>
      <c r="DN15"/>
      <c r="DO15"/>
      <c r="DP15"/>
      <c r="DQ15"/>
      <c r="DR15"/>
      <c r="DS15"/>
      <c r="DT15"/>
      <c r="DU15"/>
      <c r="DV15"/>
      <c r="DW15"/>
      <c r="DX15"/>
      <c r="DY15"/>
      <c r="DZ15"/>
      <c r="EA15"/>
      <c r="EB15"/>
      <c r="EC15"/>
      <c r="ED15"/>
      <c r="EE15"/>
      <c r="EF15"/>
      <c r="EG15"/>
      <c r="EH15"/>
      <c r="EI15"/>
      <c r="EJ15"/>
      <c r="EK15"/>
      <c r="EL15"/>
      <c r="EM15"/>
      <c r="EN15"/>
      <c r="EO15"/>
      <c r="EP15"/>
      <c r="EQ15"/>
      <c r="ER15"/>
      <c r="ES15"/>
      <c r="ET15"/>
      <c r="EU15"/>
      <c r="EV15"/>
      <c r="EW15"/>
      <c r="EX15"/>
      <c r="EY15"/>
      <c r="EZ15"/>
      <c r="FA15"/>
      <c r="FB15"/>
      <c r="FC15"/>
      <c r="FD15"/>
      <c r="FE15"/>
      <c r="FF15"/>
      <c r="FG15"/>
      <c r="FH15"/>
      <c r="FI15"/>
      <c r="FJ15"/>
      <c r="FK15"/>
      <c r="FL15"/>
      <c r="FM15"/>
      <c r="FN15"/>
      <c r="FO15"/>
      <c r="FP15"/>
      <c r="FQ15"/>
      <c r="FR15"/>
      <c r="FS15"/>
      <c r="FT15"/>
      <c r="FU15"/>
      <c r="FV15"/>
      <c r="FW15"/>
      <c r="FX15"/>
      <c r="FY15"/>
      <c r="FZ15"/>
      <c r="GA15"/>
      <c r="GB15"/>
      <c r="GC15"/>
      <c r="GD15"/>
      <c r="GE15"/>
      <c r="GF15"/>
      <c r="GG15"/>
      <c r="GH15"/>
      <c r="GI15"/>
      <c r="GJ15"/>
      <c r="GK15"/>
      <c r="GL15"/>
      <c r="GM15"/>
      <c r="GN15"/>
      <c r="GO15"/>
      <c r="GP15"/>
      <c r="GQ15"/>
      <c r="GR15"/>
      <c r="GS15"/>
      <c r="GT15"/>
      <c r="GU15"/>
      <c r="GV15"/>
      <c r="GW15"/>
      <c r="GX15"/>
      <c r="GY15"/>
      <c r="GZ15"/>
      <c r="HA15"/>
      <c r="HB15"/>
      <c r="HC15"/>
      <c r="HD15"/>
      <c r="HE15"/>
      <c r="HF15"/>
      <c r="HG15"/>
      <c r="HH15"/>
      <c r="HI15"/>
      <c r="HJ15"/>
      <c r="HK15"/>
      <c r="HL15"/>
      <c r="HM15"/>
      <c r="HN15"/>
      <c r="HO15"/>
      <c r="HP15"/>
      <c r="HQ15"/>
      <c r="HR15"/>
      <c r="HS15"/>
      <c r="HT15"/>
      <c r="HU15"/>
      <c r="HV15"/>
      <c r="HW15"/>
      <c r="HX15"/>
      <c r="HY15"/>
      <c r="HZ15"/>
      <c r="IA15"/>
      <c r="IB15"/>
      <c r="IC15"/>
      <c r="ID15"/>
      <c r="IE15"/>
      <c r="IF15"/>
      <c r="IG15"/>
      <c r="IH15"/>
      <c r="II15"/>
      <c r="IJ15"/>
      <c r="IK15"/>
      <c r="IL15"/>
      <c r="IM15"/>
      <c r="IN15"/>
      <c r="IO15"/>
      <c r="IP15"/>
      <c r="IQ15"/>
      <c r="IR15"/>
      <c r="IS15"/>
      <c r="IT15"/>
      <c r="IU15"/>
      <c r="IV15"/>
      <c r="IW15"/>
      <c r="IX15"/>
      <c r="IY15"/>
      <c r="IZ15"/>
      <c r="JA15"/>
      <c r="JB15"/>
      <c r="JC15"/>
      <c r="JD15"/>
      <c r="JE15"/>
      <c r="JF15"/>
      <c r="JG15"/>
      <c r="JH15"/>
      <c r="JI15"/>
      <c r="JJ15"/>
      <c r="JK15"/>
      <c r="JL15"/>
      <c r="JM15"/>
      <c r="JN15"/>
      <c r="JO15"/>
      <c r="JP15"/>
      <c r="JQ15"/>
      <c r="JR15"/>
      <c r="JS15"/>
      <c r="JT15"/>
      <c r="JU15"/>
      <c r="JV15"/>
      <c r="JW15"/>
      <c r="JX15"/>
      <c r="JY15"/>
      <c r="JZ15"/>
      <c r="KA15"/>
      <c r="KB15"/>
      <c r="KC15"/>
      <c r="KD15"/>
      <c r="KE15"/>
      <c r="KF15"/>
      <c r="KG15"/>
      <c r="KH15"/>
      <c r="KI15"/>
      <c r="KJ15"/>
      <c r="KK15"/>
      <c r="KL15"/>
      <c r="KM15"/>
      <c r="KN15"/>
      <c r="KO15"/>
      <c r="KP15"/>
      <c r="KQ15"/>
      <c r="KR15"/>
      <c r="KS15"/>
      <c r="KT15"/>
      <c r="KU15"/>
      <c r="KV15"/>
      <c r="KW15"/>
      <c r="KX15"/>
      <c r="KY15"/>
      <c r="KZ15"/>
      <c r="LA15"/>
      <c r="LB15"/>
      <c r="LC15"/>
      <c r="LD15"/>
      <c r="LE15"/>
      <c r="LF15"/>
      <c r="LG15"/>
      <c r="LH15"/>
      <c r="LI15"/>
      <c r="LJ15"/>
      <c r="LK15"/>
      <c r="LL15"/>
      <c r="LM15"/>
      <c r="LN15"/>
      <c r="LO15"/>
      <c r="LP15"/>
      <c r="LQ15"/>
      <c r="LR15"/>
      <c r="LS15"/>
      <c r="LT15"/>
      <c r="LU15"/>
      <c r="LV15"/>
      <c r="LW15"/>
      <c r="LX15"/>
      <c r="LY15"/>
      <c r="LZ15"/>
      <c r="MA15"/>
      <c r="MB15"/>
      <c r="MC15"/>
      <c r="MD15"/>
      <c r="ME15"/>
      <c r="MF15"/>
      <c r="MG15"/>
      <c r="MH15"/>
      <c r="MI15"/>
      <c r="MJ15"/>
      <c r="MK15"/>
      <c r="ML15"/>
      <c r="MM15"/>
      <c r="MN15"/>
      <c r="MO15"/>
      <c r="MP15"/>
      <c r="MQ15"/>
      <c r="MR15"/>
      <c r="MS15"/>
      <c r="MT15"/>
      <c r="MU15"/>
      <c r="MV15"/>
      <c r="MW15"/>
      <c r="MX15"/>
      <c r="MY15"/>
      <c r="MZ15"/>
      <c r="NA15"/>
      <c r="NB15"/>
      <c r="NC15"/>
      <c r="ND15"/>
      <c r="NE15"/>
      <c r="NF15"/>
      <c r="NG15"/>
      <c r="NH15"/>
      <c r="NI15"/>
      <c r="NJ15"/>
      <c r="NK15"/>
      <c r="NL15"/>
      <c r="NM15"/>
      <c r="NN15"/>
      <c r="NO15"/>
      <c r="NP15"/>
      <c r="NQ15"/>
      <c r="NR15"/>
      <c r="NS15"/>
      <c r="NT15"/>
      <c r="NU15"/>
      <c r="NV15"/>
      <c r="NW15"/>
      <c r="NX15"/>
      <c r="NY15"/>
      <c r="NZ15"/>
      <c r="OA15"/>
      <c r="OB15"/>
      <c r="OC15"/>
      <c r="OD15"/>
      <c r="OE15"/>
      <c r="OF15"/>
      <c r="OG15"/>
      <c r="OH15"/>
      <c r="OI15"/>
      <c r="OJ15"/>
      <c r="OK15"/>
      <c r="OL15"/>
      <c r="OM15"/>
      <c r="ON15"/>
      <c r="OO15"/>
      <c r="OP15"/>
      <c r="OQ15"/>
      <c r="OR15"/>
      <c r="OS15"/>
      <c r="OT15"/>
      <c r="OU15"/>
      <c r="OV15"/>
      <c r="OW15"/>
      <c r="OX15"/>
      <c r="OY15"/>
      <c r="OZ15"/>
      <c r="PA15"/>
      <c r="PB15"/>
      <c r="PC15"/>
      <c r="PD15"/>
      <c r="PE15"/>
      <c r="PF15"/>
      <c r="PG15"/>
      <c r="PH15"/>
      <c r="PI15"/>
      <c r="PJ15"/>
      <c r="PK15"/>
      <c r="PL15"/>
      <c r="PM15"/>
      <c r="PN15"/>
      <c r="PO15"/>
      <c r="PP15"/>
      <c r="PQ15"/>
      <c r="PR15"/>
      <c r="PS15"/>
      <c r="PT15"/>
      <c r="PU15"/>
      <c r="PV15"/>
      <c r="PW15"/>
      <c r="PX15"/>
      <c r="PY15"/>
      <c r="PZ15"/>
      <c r="QA15"/>
      <c r="QB15"/>
      <c r="QC15"/>
      <c r="QD15"/>
      <c r="QE15"/>
      <c r="QF15"/>
      <c r="QG15"/>
      <c r="QH15"/>
      <c r="QI15"/>
      <c r="QJ15"/>
      <c r="QK15"/>
      <c r="QL15"/>
      <c r="QM15"/>
      <c r="QN15"/>
      <c r="QO15"/>
      <c r="QP15"/>
      <c r="QQ15"/>
      <c r="QR15"/>
      <c r="QS15"/>
      <c r="QT15"/>
      <c r="QU15"/>
      <c r="QV15"/>
      <c r="QW15"/>
      <c r="QX15"/>
      <c r="QY15"/>
      <c r="QZ15"/>
      <c r="RA15"/>
      <c r="RB15"/>
      <c r="RC15"/>
      <c r="RD15"/>
      <c r="RE15"/>
      <c r="RF15"/>
      <c r="RG15"/>
      <c r="RH15"/>
      <c r="RI15"/>
      <c r="RJ15"/>
      <c r="RK15"/>
      <c r="RL15"/>
      <c r="RM15"/>
      <c r="RN15"/>
      <c r="RO15"/>
      <c r="RP15"/>
      <c r="RQ15"/>
      <c r="RR15"/>
      <c r="RS15"/>
      <c r="RT15"/>
      <c r="RU15"/>
      <c r="RV15"/>
      <c r="RW15"/>
      <c r="RX15"/>
      <c r="RY15"/>
      <c r="RZ15"/>
      <c r="SA15"/>
      <c r="SB15"/>
      <c r="SC15"/>
      <c r="SD15"/>
      <c r="SE15"/>
      <c r="SF15"/>
      <c r="SG15"/>
      <c r="SH15"/>
      <c r="SI15"/>
      <c r="SJ15"/>
      <c r="SK15"/>
      <c r="SL15"/>
      <c r="SM15"/>
      <c r="SN15"/>
      <c r="SO15"/>
      <c r="SP15"/>
      <c r="SQ15"/>
      <c r="SR15"/>
      <c r="SS15"/>
      <c r="ST15"/>
      <c r="SU15"/>
      <c r="SV15"/>
      <c r="SW15"/>
      <c r="SX15"/>
      <c r="SY15"/>
      <c r="SZ15"/>
      <c r="TA15"/>
      <c r="TB15"/>
      <c r="TC15"/>
      <c r="TD15"/>
      <c r="TE15"/>
      <c r="TF15"/>
      <c r="TG15"/>
      <c r="TH15"/>
      <c r="TI15"/>
      <c r="TJ15"/>
      <c r="TK15"/>
      <c r="TL15"/>
      <c r="TM15"/>
      <c r="TN15"/>
      <c r="TO15"/>
      <c r="TP15"/>
      <c r="TQ15"/>
      <c r="TR15"/>
      <c r="TS15"/>
      <c r="TT15"/>
      <c r="TU15"/>
      <c r="TV15"/>
      <c r="TW15"/>
      <c r="TX15"/>
      <c r="TY15"/>
      <c r="TZ15"/>
      <c r="UA15"/>
      <c r="UB15"/>
      <c r="UC15"/>
      <c r="UD15"/>
      <c r="UE15"/>
      <c r="UF15"/>
      <c r="UG15"/>
      <c r="UH15"/>
      <c r="UI15"/>
      <c r="UJ15"/>
      <c r="UK15"/>
      <c r="UL15"/>
      <c r="UM15"/>
      <c r="UN15"/>
      <c r="UO15"/>
      <c r="UP15"/>
      <c r="UQ15"/>
      <c r="UR15"/>
      <c r="US15"/>
      <c r="UT15"/>
      <c r="UU15"/>
      <c r="UV15"/>
      <c r="UW15"/>
      <c r="UX15"/>
      <c r="UY15"/>
      <c r="UZ15"/>
      <c r="VA15"/>
      <c r="VB15"/>
      <c r="VC15"/>
      <c r="VD15"/>
      <c r="VE15"/>
      <c r="VF15"/>
      <c r="VG15"/>
      <c r="VH15"/>
      <c r="VI15"/>
      <c r="VJ15"/>
      <c r="VK15"/>
      <c r="VL15"/>
      <c r="VM15"/>
      <c r="VN15"/>
      <c r="VO15"/>
      <c r="VP15"/>
      <c r="VQ15"/>
      <c r="VR15"/>
      <c r="VS15"/>
      <c r="VT15"/>
      <c r="VU15"/>
      <c r="VV15"/>
      <c r="VW15"/>
      <c r="VX15"/>
      <c r="VY15"/>
      <c r="VZ15"/>
      <c r="WA15"/>
      <c r="WB15"/>
      <c r="WC15"/>
      <c r="WD15"/>
      <c r="WE15"/>
      <c r="WF15"/>
      <c r="WG15"/>
      <c r="WH15"/>
      <c r="WI15"/>
      <c r="WJ15"/>
      <c r="WK15"/>
      <c r="WL15"/>
      <c r="WM15"/>
      <c r="WN15"/>
      <c r="WO15"/>
      <c r="WP15"/>
      <c r="WQ15"/>
      <c r="WR15"/>
      <c r="WS15"/>
      <c r="WT15"/>
      <c r="WU15"/>
      <c r="WV15"/>
      <c r="WW15"/>
      <c r="WX15"/>
      <c r="WY15"/>
      <c r="WZ15"/>
      <c r="XA15"/>
      <c r="XB15"/>
      <c r="XC15"/>
      <c r="XD15"/>
      <c r="XE15"/>
      <c r="XF15"/>
      <c r="XG15"/>
      <c r="XH15"/>
      <c r="XI15"/>
      <c r="XJ15"/>
      <c r="XK15"/>
      <c r="XL15"/>
      <c r="XM15"/>
      <c r="XN15"/>
      <c r="XO15"/>
      <c r="XP15"/>
      <c r="XQ15"/>
      <c r="XR15"/>
      <c r="XS15"/>
      <c r="XT15"/>
      <c r="XU15"/>
      <c r="XV15"/>
      <c r="XW15"/>
      <c r="XX15"/>
      <c r="XY15"/>
      <c r="XZ15"/>
      <c r="YA15"/>
      <c r="YB15"/>
      <c r="YC15"/>
      <c r="YD15"/>
      <c r="YE15"/>
      <c r="YF15"/>
      <c r="YG15"/>
      <c r="YH15"/>
      <c r="YI15"/>
      <c r="YJ15"/>
      <c r="YK15"/>
      <c r="YL15"/>
      <c r="YM15"/>
      <c r="YN15"/>
      <c r="YO15"/>
      <c r="YP15"/>
      <c r="YQ15"/>
      <c r="YR15"/>
      <c r="YS15"/>
      <c r="YT15"/>
      <c r="YU15"/>
      <c r="YV15"/>
      <c r="YW15"/>
      <c r="YX15"/>
      <c r="YY15"/>
      <c r="YZ15"/>
      <c r="ZA15"/>
      <c r="ZB15"/>
      <c r="ZC15"/>
      <c r="ZD15"/>
      <c r="ZE15"/>
      <c r="ZF15"/>
      <c r="ZG15"/>
      <c r="ZH15"/>
      <c r="ZI15"/>
      <c r="ZJ15"/>
      <c r="ZK15"/>
      <c r="ZL15"/>
      <c r="ZM15"/>
      <c r="ZN15"/>
      <c r="ZO15"/>
      <c r="ZP15"/>
      <c r="ZQ15"/>
      <c r="ZR15"/>
      <c r="ZS15"/>
      <c r="ZT15"/>
      <c r="ZU15"/>
      <c r="ZV15"/>
      <c r="ZW15"/>
      <c r="ZX15"/>
      <c r="ZY15"/>
      <c r="ZZ15"/>
      <c r="AAA15"/>
      <c r="AAB15"/>
      <c r="AAC15"/>
      <c r="AAD15"/>
      <c r="AAE15"/>
      <c r="AAF15"/>
      <c r="AAG15"/>
      <c r="AAH15"/>
      <c r="AAI15"/>
      <c r="AAJ15"/>
      <c r="AAK15"/>
      <c r="AAL15"/>
      <c r="AAM15"/>
    </row>
    <row r="16" spans="1:715" ht="40.5" customHeight="1">
      <c r="A16" s="8" t="s">
        <v>47</v>
      </c>
      <c r="B16" s="9">
        <v>9</v>
      </c>
    </row>
    <row r="17" spans="1:1">
      <c r="A17" s="23"/>
    </row>
    <row r="40" spans="1:15" ht="8.25" hidden="1" customHeight="1"/>
    <row r="41" spans="1:15" ht="48" customHeight="1">
      <c r="A41" s="32"/>
      <c r="B41" s="32"/>
      <c r="C41" s="32"/>
      <c r="D41" s="32"/>
      <c r="E41" s="32"/>
      <c r="F41" s="32"/>
      <c r="J41" s="27"/>
      <c r="K41" s="33" t="s">
        <v>48</v>
      </c>
      <c r="L41" s="33"/>
      <c r="M41" s="33"/>
      <c r="N41" s="33"/>
      <c r="O41" s="33"/>
    </row>
    <row r="42" spans="1:15" ht="15.75">
      <c r="A42" s="32"/>
      <c r="B42" s="32"/>
      <c r="C42" s="32"/>
      <c r="D42" s="32"/>
      <c r="E42" s="32"/>
      <c r="F42" s="32"/>
      <c r="J42" s="34" t="s">
        <v>49</v>
      </c>
      <c r="K42" s="27"/>
      <c r="L42" s="28" t="s">
        <v>50</v>
      </c>
      <c r="M42" s="29" t="s">
        <v>51</v>
      </c>
      <c r="N42" s="30" t="s">
        <v>52</v>
      </c>
      <c r="O42" s="31" t="s">
        <v>53</v>
      </c>
    </row>
    <row r="43" spans="1:15" ht="15.75">
      <c r="A43" s="32"/>
      <c r="B43" s="32"/>
      <c r="C43" s="32"/>
      <c r="D43" s="32"/>
      <c r="E43" s="32"/>
      <c r="F43" s="32"/>
      <c r="J43" s="44"/>
      <c r="K43" s="28" t="s">
        <v>54</v>
      </c>
      <c r="L43" s="28">
        <f>0*0</f>
        <v>0</v>
      </c>
      <c r="M43" s="28">
        <f>0*3</f>
        <v>0</v>
      </c>
      <c r="N43" s="28">
        <f>6*0</f>
        <v>0</v>
      </c>
      <c r="O43" s="28">
        <f>0*9</f>
        <v>0</v>
      </c>
    </row>
    <row r="44" spans="1:15" ht="15.75">
      <c r="A44" s="32"/>
      <c r="B44" s="32"/>
      <c r="C44" s="32"/>
      <c r="D44" s="32"/>
      <c r="E44" s="32"/>
      <c r="F44" s="32"/>
      <c r="J44" s="44"/>
      <c r="K44" s="29" t="s">
        <v>51</v>
      </c>
      <c r="L44" s="28">
        <f>3*0</f>
        <v>0</v>
      </c>
      <c r="M44" s="29">
        <f>3*3</f>
        <v>9</v>
      </c>
      <c r="N44" s="29">
        <f>3*6</f>
        <v>18</v>
      </c>
      <c r="O44" s="30">
        <f>3*9</f>
        <v>27</v>
      </c>
    </row>
    <row r="45" spans="1:15" ht="15.75">
      <c r="A45" s="32"/>
      <c r="B45" s="32"/>
      <c r="C45" s="32"/>
      <c r="D45" s="32"/>
      <c r="E45" s="32"/>
      <c r="F45" s="32"/>
      <c r="J45" s="44"/>
      <c r="K45" s="30" t="s">
        <v>52</v>
      </c>
      <c r="L45" s="28">
        <f>6*0</f>
        <v>0</v>
      </c>
      <c r="M45" s="29">
        <f>6*3</f>
        <v>18</v>
      </c>
      <c r="N45" s="30">
        <f>6*6</f>
        <v>36</v>
      </c>
      <c r="O45" s="31">
        <f>6*9</f>
        <v>54</v>
      </c>
    </row>
    <row r="46" spans="1:15" ht="15.75">
      <c r="A46" s="26"/>
      <c r="J46" s="44"/>
      <c r="K46" s="31" t="s">
        <v>53</v>
      </c>
      <c r="L46" s="28">
        <f>9*0</f>
        <v>0</v>
      </c>
      <c r="M46" s="30">
        <f>9*3</f>
        <v>27</v>
      </c>
      <c r="N46" s="31">
        <f>6*9</f>
        <v>54</v>
      </c>
      <c r="O46" s="31">
        <f>9*9</f>
        <v>81</v>
      </c>
    </row>
    <row r="47" spans="1:15">
      <c r="A47" s="26"/>
    </row>
    <row r="48" spans="1:15">
      <c r="A48" s="26"/>
    </row>
    <row r="49" spans="1:1">
      <c r="A49" s="26"/>
    </row>
    <row r="50" spans="1:1">
      <c r="A50" s="26"/>
    </row>
  </sheetData>
  <mergeCells count="16">
    <mergeCell ref="Y9:Y11"/>
    <mergeCell ref="Y1:Y2"/>
    <mergeCell ref="S1:U1"/>
    <mergeCell ref="V1:X1"/>
    <mergeCell ref="G1:I1"/>
    <mergeCell ref="J1:L1"/>
    <mergeCell ref="M1:O1"/>
    <mergeCell ref="P1:R1"/>
    <mergeCell ref="K41:O41"/>
    <mergeCell ref="J42:J46"/>
    <mergeCell ref="F1:F2"/>
    <mergeCell ref="A1:A2"/>
    <mergeCell ref="B1:B2"/>
    <mergeCell ref="C1:C2"/>
    <mergeCell ref="D1:D2"/>
    <mergeCell ref="E1:E2"/>
  </mergeCells>
  <conditionalFormatting sqref="D3:E8">
    <cfRule type="expression" dxfId="3" priority="4">
      <formula>LOWER(D3)="high"</formula>
    </cfRule>
  </conditionalFormatting>
  <conditionalFormatting sqref="D3:E8">
    <cfRule type="expression" dxfId="2" priority="3">
      <formula>LOWER(D3)="medium"</formula>
    </cfRule>
  </conditionalFormatting>
  <conditionalFormatting sqref="D3:E8">
    <cfRule type="expression" dxfId="1" priority="2">
      <formula>LOWER(D3)="low"</formula>
    </cfRule>
  </conditionalFormatting>
  <conditionalFormatting sqref="D3:E8">
    <cfRule type="expression" dxfId="0" priority="1">
      <formula>LOWER(D3)="none"</formula>
    </cfRule>
  </conditionalFormatting>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650105ACE85F64A8FA0AB12AEEA9C8C" ma:contentTypeVersion="14" ma:contentTypeDescription="Create a new document." ma:contentTypeScope="" ma:versionID="07a6047be6c0ace6e271711c8468eaa9">
  <xsd:schema xmlns:xsd="http://www.w3.org/2001/XMLSchema" xmlns:xs="http://www.w3.org/2001/XMLSchema" xmlns:p="http://schemas.microsoft.com/office/2006/metadata/properties" xmlns:ns3="5f6631fc-d82c-4199-b4f6-0067d1a484c5" xmlns:ns4="9dd9d893-2be6-460b-96c8-7ab2a031e96b" targetNamespace="http://schemas.microsoft.com/office/2006/metadata/properties" ma:root="true" ma:fieldsID="f9a860d7db37268ad36f530e6cd827f5" ns3:_="" ns4:_="">
    <xsd:import namespace="5f6631fc-d82c-4199-b4f6-0067d1a484c5"/>
    <xsd:import namespace="9dd9d893-2be6-460b-96c8-7ab2a031e96b"/>
    <xsd:element name="properties">
      <xsd:complexType>
        <xsd:sequence>
          <xsd:element name="documentManagement">
            <xsd:complexType>
              <xsd:all>
                <xsd:element ref="ns3:MediaServiceMetadata" minOccurs="0"/>
                <xsd:element ref="ns3:MediaServiceFastMetadata" minOccurs="0"/>
                <xsd:element ref="ns3:MediaServiceObjectDetectorVersions" minOccurs="0"/>
                <xsd:element ref="ns3:_activity" minOccurs="0"/>
                <xsd:element ref="ns4:SharedWithUsers" minOccurs="0"/>
                <xsd:element ref="ns4:SharedWithDetails" minOccurs="0"/>
                <xsd:element ref="ns4:SharingHintHash" minOccurs="0"/>
                <xsd:element ref="ns3:MediaServiceSearchProperties" minOccurs="0"/>
                <xsd:element ref="ns3:MediaServiceDateTaken" minOccurs="0"/>
                <xsd:element ref="ns3:MediaServiceSystemTags" minOccurs="0"/>
                <xsd:element ref="ns3:MediaServiceLocation" minOccurs="0"/>
                <xsd:element ref="ns3:MediaServiceGenerationTime" minOccurs="0"/>
                <xsd:element ref="ns3:MediaServiceEventHashCode" minOccurs="0"/>
                <xsd:element ref="ns3: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f6631fc-d82c-4199-b4f6-0067d1a484c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_activity" ma:index="11" nillable="true" ma:displayName="_activity" ma:hidden="true" ma:internalName="_activity">
      <xsd:simpleType>
        <xsd:restriction base="dms:Note"/>
      </xsd:simpleType>
    </xsd:element>
    <xsd:element name="MediaServiceSearchProperties" ma:index="15" nillable="true" ma:displayName="MediaServiceSearchProperties" ma:hidden="true" ma:internalName="MediaServiceSearchProperties" ma:readOnly="true">
      <xsd:simpleType>
        <xsd:restriction base="dms:Note"/>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SystemTags" ma:index="17" nillable="true" ma:displayName="MediaServiceSystemTags" ma:hidden="true" ma:internalName="MediaServiceSystemTags" ma:readOnly="true">
      <xsd:simpleType>
        <xsd:restriction base="dms:Note"/>
      </xsd:simpleType>
    </xsd:element>
    <xsd:element name="MediaServiceLocation" ma:index="18" nillable="true" ma:displayName="Location" ma:indexed="true" ma:internalName="MediaServiceLocation" ma:readOnly="true">
      <xsd:simpleType>
        <xsd:restriction base="dms:Text"/>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OCR" ma:index="21"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9dd9d893-2be6-460b-96c8-7ab2a031e96b"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SharingHintHash" ma:index="14"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activity xmlns="5f6631fc-d82c-4199-b4f6-0067d1a484c5"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7D95A24-4145-483E-A6D9-C58E3B43FE22}"/>
</file>

<file path=customXml/itemProps2.xml><?xml version="1.0" encoding="utf-8"?>
<ds:datastoreItem xmlns:ds="http://schemas.openxmlformats.org/officeDocument/2006/customXml" ds:itemID="{3FFA4F3F-7760-4195-BDDF-ACCB58B6BAB4}"/>
</file>

<file path=customXml/itemProps3.xml><?xml version="1.0" encoding="utf-8"?>
<ds:datastoreItem xmlns:ds="http://schemas.openxmlformats.org/officeDocument/2006/customXml" ds:itemID="{10D0E551-87CA-4214-B439-7B62511EC7CC}"/>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Ermita, Angelina S</dc:creator>
  <cp:keywords/>
  <dc:description/>
  <cp:lastModifiedBy/>
  <cp:revision/>
  <dcterms:created xsi:type="dcterms:W3CDTF">2025-02-19T02:06:04Z</dcterms:created>
  <dcterms:modified xsi:type="dcterms:W3CDTF">2026-08-26T20:20:50Z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0x010100D650105ACE85F64A8FA0AB12AEEA9C8C</vt:lpwstr>
  </property>
</Properties>
</file>