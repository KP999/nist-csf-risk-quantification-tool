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d.docs.live.net/82cba344ffd24f34/Desktop/"/>
    </mc:Choice>
  </mc:AlternateContent>
  <xr:revisionPtr revIDLastSave="0" documentId="8_{2A73A5D6-4B06-42D2-9B39-D936635F3483}" xr6:coauthVersionLast="47" xr6:coauthVersionMax="47" xr10:uidLastSave="{00000000-0000-0000-0000-000000000000}"/>
  <bookViews>
    <workbookView xWindow="-108" yWindow="-108" windowWidth="23256" windowHeight="12456" tabRatio="500" firstSheet="3" activeTab="3" xr2:uid="{00000000-000D-0000-FFFF-FFFF00000000}"/>
  </bookViews>
  <sheets>
    <sheet name="Introduction Screen" sheetId="1" r:id="rId1"/>
    <sheet name="Tutorial Screen" sheetId="2" r:id="rId2"/>
    <sheet name="Risk Assessment Tool" sheetId="3" r:id="rId3"/>
    <sheet name="Dashboard"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4" l="1"/>
  <c r="D42" i="4"/>
  <c r="C42" i="4"/>
  <c r="E41" i="4"/>
  <c r="D41" i="4"/>
  <c r="C41" i="4"/>
  <c r="E40" i="4"/>
  <c r="D40" i="4"/>
  <c r="C40" i="4"/>
  <c r="P10" i="3"/>
  <c r="M10" i="3"/>
  <c r="F10" i="3"/>
  <c r="J10" i="3" s="1"/>
  <c r="J9" i="3"/>
  <c r="F9" i="3"/>
  <c r="G9" i="3" s="1"/>
  <c r="F8" i="3"/>
  <c r="F7" i="3"/>
  <c r="F6" i="3"/>
  <c r="Y6" i="3" s="1"/>
  <c r="Y5" i="3"/>
  <c r="F5" i="3"/>
  <c r="G7" i="3" l="1"/>
  <c r="J8" i="3"/>
  <c r="M9" i="3"/>
  <c r="Z9" i="3" s="1"/>
  <c r="G6" i="3"/>
  <c r="J7" i="3"/>
  <c r="M8" i="3"/>
  <c r="P9" i="3"/>
  <c r="S10" i="3"/>
  <c r="Z10" i="3" s="1"/>
  <c r="G5" i="3"/>
  <c r="J6" i="3"/>
  <c r="M7" i="3"/>
  <c r="P8" i="3"/>
  <c r="S9" i="3"/>
  <c r="V10" i="3"/>
  <c r="J5" i="3"/>
  <c r="B34" i="4" s="1"/>
  <c r="M6" i="3"/>
  <c r="P7" i="3"/>
  <c r="B31" i="4" s="1"/>
  <c r="S8" i="3"/>
  <c r="V9" i="3"/>
  <c r="Y10" i="3"/>
  <c r="M5" i="3"/>
  <c r="P6" i="3"/>
  <c r="S7" i="3"/>
  <c r="V8" i="3"/>
  <c r="Y9" i="3"/>
  <c r="B29" i="4"/>
  <c r="P5" i="3"/>
  <c r="S6" i="3"/>
  <c r="V7" i="3"/>
  <c r="Y8" i="3"/>
  <c r="S5" i="3"/>
  <c r="V6" i="3"/>
  <c r="Y7" i="3"/>
  <c r="Y11" i="3" s="1"/>
  <c r="V5" i="3"/>
  <c r="F11" i="3"/>
  <c r="B32" i="4"/>
  <c r="G8" i="3"/>
  <c r="G10" i="3"/>
  <c r="AA10" i="3" l="1"/>
  <c r="AB10" i="3"/>
  <c r="AB9" i="3"/>
  <c r="AA9" i="3"/>
  <c r="V11" i="3"/>
  <c r="Z7" i="3"/>
  <c r="AB7" i="3" s="1"/>
  <c r="P11" i="3"/>
  <c r="Z8" i="3"/>
  <c r="AB8" i="3" s="1"/>
  <c r="Z6" i="3"/>
  <c r="AB6" i="3" s="1"/>
  <c r="S11" i="3"/>
  <c r="M11" i="3"/>
  <c r="B30" i="4"/>
  <c r="Z5" i="3"/>
  <c r="J11" i="3"/>
  <c r="AA5" i="3"/>
  <c r="B33" i="4"/>
  <c r="AA6" i="3" l="1"/>
  <c r="Z11" i="3"/>
  <c r="AB5" i="3"/>
  <c r="AB11" i="3" s="1"/>
  <c r="AA8" i="3"/>
  <c r="AA7" i="3"/>
</calcChain>
</file>

<file path=xl/sharedStrings.xml><?xml version="1.0" encoding="utf-8"?>
<sst xmlns="http://schemas.openxmlformats.org/spreadsheetml/2006/main" count="123" uniqueCount="78">
  <si>
    <t>Cybersecurity Risk Dashboard</t>
  </si>
  <si>
    <t>The Advanced Digital Defenders Cyber Risk Assessment Tool lets you log risks along with their likelihood and severity, model the controls you'd put in place to mitigate them, and see the percentage each control reduces that risk. The tool automatically calculates the inherent risk value, the residual risk value after controls, which single control performs best for each risk, and a chart comparing every control's effect — so you can see at a glance which controls are worth prioritizing.</t>
  </si>
  <si>
    <t>Get started:</t>
  </si>
  <si>
    <t>Risk Assessment Tool Tutorial</t>
  </si>
  <si>
    <t>1. Log a risk</t>
  </si>
  <si>
    <t>In the Risk Assessment Tool tab, add a row: name the risk, describe it in a sentence, and note which CIA principle(s) — Confidentiality, Integrity, Availability — it threatens.</t>
  </si>
  <si>
    <t>2. Rate Likelihood and Severity</t>
  </si>
  <si>
    <t>Pick LOW, MEDIUM, or HIGH from the dropdown for both. These are converted to numeric values (3/6/9) automatically and multiplied to produce the Inherent Risk Value and Risk Level, before any controls are applied.</t>
  </si>
  <si>
    <t>3. Score each control</t>
  </si>
  <si>
    <t>For every control (Data Encryption, Cybersecurity Training, Access Control List, Compliance Team &amp; Framework, Web Application Firewall, Third-Party Security Audits), enter how much you estimate it reduces Likelihood and how much it reduces Severity, as a percentage (0-1).</t>
  </si>
  <si>
    <t>4. Read the Residual Risk</t>
  </si>
  <si>
    <t>Each control's Residual Risk is calculated automatically: Inherent Risk x (1 - Likelihood Reduction) x (1 - Severity Reduction). Lower is better.</t>
  </si>
  <si>
    <t>5. Check the Best Control column</t>
  </si>
  <si>
    <t>The tool automatically flags which single control produces the lowest residual risk for that specific threat, and what percentage of the inherent risk it removes.</t>
  </si>
  <si>
    <t>6. Use the chart</t>
  </si>
  <si>
    <t>The Risk Reduction Comparison chart at the bottom of the tool plots every control's residual risk across all logged risks, so you can visually compare which controls are carrying the most weight.</t>
  </si>
  <si>
    <t>Advanced Digital Defenders — Cybersecurity Risk Assessment</t>
  </si>
  <si>
    <t>Risk</t>
  </si>
  <si>
    <t>Definition</t>
  </si>
  <si>
    <t>CIA Principle(s) Impacted</t>
  </si>
  <si>
    <t>Likelihood</t>
  </si>
  <si>
    <t>Severity</t>
  </si>
  <si>
    <t>Inherent Risk Value</t>
  </si>
  <si>
    <t>Inherent Risk Level</t>
  </si>
  <si>
    <t>Data Encryption</t>
  </si>
  <si>
    <t>Cybersecurity Training for Employees</t>
  </si>
  <si>
    <t>Access Control List</t>
  </si>
  <si>
    <t>Compliance Team &amp; Framework</t>
  </si>
  <si>
    <t>Web Application Firewall</t>
  </si>
  <si>
    <t>Third-Party Security Audits</t>
  </si>
  <si>
    <t>Lowest
Residual Risk</t>
  </si>
  <si>
    <t>Best Control
(Lowest Residual)</t>
  </si>
  <si>
    <t>Risk Reduction
from Best Control</t>
  </si>
  <si>
    <t>Reduction of
Likelihood</t>
  </si>
  <si>
    <t>Reduction of
Severity</t>
  </si>
  <si>
    <t>Residual
Risk</t>
  </si>
  <si>
    <t>Data Breach</t>
  </si>
  <si>
    <t>Unauthorized access exposing confidential financial or customer data</t>
  </si>
  <si>
    <t>Confidentiality</t>
  </si>
  <si>
    <t>MEDIUM</t>
  </si>
  <si>
    <t>HIGH</t>
  </si>
  <si>
    <t>Phishing</t>
  </si>
  <si>
    <t>Deceptive emails or messages tricking employees into revealing sensitive information</t>
  </si>
  <si>
    <t>Confidentiality / Integrity</t>
  </si>
  <si>
    <t>Insider Threat</t>
  </si>
  <si>
    <t>Malicious or negligent actions by employees or associates that compromise security</t>
  </si>
  <si>
    <t>Integrity</t>
  </si>
  <si>
    <t>LOW</t>
  </si>
  <si>
    <t>Compliance Violations</t>
  </si>
  <si>
    <t>Failure to meet financial regulations, leading to legal and financial penalties</t>
  </si>
  <si>
    <t>Web Application Attacks</t>
  </si>
  <si>
    <t>Exploits targeting web apps (e.g. SQL injection, XSS) to steal data or gain access</t>
  </si>
  <si>
    <t>Third Party Cloud Risks</t>
  </si>
  <si>
    <t>Security, operational, financial, and compliance risks associated with reliance on third-party cloud computing vendors, suppliers and contractors</t>
  </si>
  <si>
    <t>Confidentiality / Integrity / Availability</t>
  </si>
  <si>
    <t>TOTAL / AVERAGE</t>
  </si>
  <si>
    <t>Likelihood / Severity Scale</t>
  </si>
  <si>
    <t>Risk Level Thresholds (Inherent Risk Value)</t>
  </si>
  <si>
    <t>Rating</t>
  </si>
  <si>
    <t>Value</t>
  </si>
  <si>
    <t>Score Min</t>
  </si>
  <si>
    <t>Level</t>
  </si>
  <si>
    <t>None</t>
  </si>
  <si>
    <t>Low</t>
  </si>
  <si>
    <t>Medium</t>
  </si>
  <si>
    <t>High</t>
  </si>
  <si>
    <t>Critical</t>
  </si>
  <si>
    <t>Note: Likelihood and Severity ratings, control reduction percentages, and risk levels are the analyst's own judgment calls for this model company. Values here are illustrative and should be revised to reflect real assumptions, with sources or rationale documented where possible.</t>
  </si>
  <si>
    <t>Advanced Digital Defenders — Risk Dashboard</t>
  </si>
  <si>
    <t>Live summary of the Risk Assessment Tool — all values update automatically when the register changes.</t>
  </si>
  <si>
    <t>1.  Inherent vs. Residual Risk, by Scenario</t>
  </si>
  <si>
    <t>2.  Average Risk Reduction by Control, Across All Risks</t>
  </si>
  <si>
    <t>Control</t>
  </si>
  <si>
    <t>Avg. Risk Reduction</t>
  </si>
  <si>
    <t>3.  Risk Heat Map (Likelihood x Severity)</t>
  </si>
  <si>
    <t>Likelihood →</t>
  </si>
  <si>
    <t>Severity ↓</t>
  </si>
  <si>
    <t>Risk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</si>
</sst>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charset val="1"/>
    </font>
    <font>
      <b/>
      <sz val="16"/>
      <color rgb="FF1F3864"/>
      <name val="Aptos Narrow"/>
      <charset val="1"/>
    </font>
    <font>
      <b/>
      <sz val="11"/>
      <name val="Aptos Narrow"/>
      <charset val="1"/>
    </font>
    <font>
      <b/>
      <u/>
      <sz val="12"/>
      <color rgb="FF1155CC"/>
      <name val="Aptos Narrow"/>
      <charset val="1"/>
    </font>
    <font>
      <b/>
      <sz val="11"/>
      <color rgb="FFFFFFFF"/>
      <name val="Aptos Narrow"/>
      <charset val="1"/>
    </font>
    <font>
      <b/>
      <sz val="10"/>
      <color rgb="FF1F3864"/>
      <name val="Aptos Narrow"/>
      <charset val="1"/>
    </font>
    <font>
      <sz val="11"/>
      <color rgb="FF0000FF"/>
      <name val="Aptos Narrow"/>
      <charset val="1"/>
    </font>
    <font>
      <sz val="11"/>
      <name val="Aptos Narrow"/>
      <charset val="1"/>
    </font>
    <font>
      <b/>
      <u/>
      <sz val="11"/>
      <color rgb="FF1155CC"/>
      <name val="Aptos Narrow"/>
      <charset val="1"/>
    </font>
    <font>
      <b/>
      <sz val="16"/>
      <color rgb="FF1F3864"/>
      <name val="Aptos Narrow"/>
    </font>
    <font>
      <i/>
      <sz val="10"/>
      <color rgb="FF555555"/>
      <name val="Aptos Narrow"/>
    </font>
    <font>
      <b/>
      <sz val="12"/>
      <color rgb="FF1F3864"/>
      <name val="Aptos Narrow"/>
    </font>
    <font>
      <b/>
      <sz val="11"/>
      <name val="Aptos Narrow"/>
    </font>
    <font>
      <sz val="11"/>
      <name val="Aptos Narrow"/>
    </font>
    <font>
      <sz val="9"/>
      <color rgb="FF000000"/>
      <name val="Aptos Narrow"/>
    </font>
    <font>
      <b/>
      <u/>
      <sz val="11"/>
      <color rgb="FF1155CC"/>
      <name val="Aptos Narrow"/>
    </font>
  </fonts>
  <fills count="9">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F2F2F2"/>
        <bgColor rgb="FFFFFFFF"/>
      </patternFill>
    </fill>
    <fill>
      <patternFill patternType="solid">
        <fgColor rgb="FFFFE699"/>
      </patternFill>
    </fill>
    <fill>
      <patternFill patternType="solid">
        <fgColor rgb="FFF4B183"/>
      </patternFill>
    </fill>
    <fill>
      <patternFill patternType="solid">
        <fgColor rgb="FFFF7C80"/>
      </patternFill>
    </fill>
    <fill>
      <patternFill patternType="solid">
        <fgColor rgb="FFA9D18E"/>
      </patternFill>
    </fill>
  </fills>
  <borders count="5">
    <border>
      <left/>
      <right/>
      <top/>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2" fillId="0" borderId="0" xfId="0" applyFont="1"/>
    <xf numFmtId="0" fontId="3" fillId="0" borderId="0" xfId="0" applyFont="1"/>
    <xf numFmtId="0" fontId="5" fillId="0" borderId="0" xfId="0" applyFont="1"/>
    <xf numFmtId="0" fontId="8" fillId="0" borderId="0" xfId="0" applyFont="1"/>
    <xf numFmtId="0" fontId="11" fillId="0" borderId="0" xfId="0" applyFont="1"/>
    <xf numFmtId="0" fontId="12" fillId="0" borderId="4" xfId="0" applyFont="1" applyBorder="1" applyAlignment="1">
      <alignment horizontal="center" vertical="center" wrapText="1"/>
    </xf>
    <xf numFmtId="0" fontId="13" fillId="0" borderId="4" xfId="0" applyFont="1" applyBorder="1"/>
    <xf numFmtId="9" fontId="0" fillId="0" borderId="4" xfId="0" applyNumberFormat="1" applyBorder="1"/>
    <xf numFmtId="0" fontId="12" fillId="0" borderId="0" xfId="0" applyFont="1"/>
    <xf numFmtId="0" fontId="14" fillId="5" borderId="4"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0" fillId="8" borderId="4" xfId="0" applyFill="1" applyBorder="1" applyAlignment="1">
      <alignment horizontal="center" vertical="center" wrapText="1"/>
    </xf>
    <xf numFmtId="0" fontId="0" fillId="5" borderId="4" xfId="0" applyFill="1" applyBorder="1" applyAlignment="1">
      <alignment horizontal="center" vertical="center" wrapText="1"/>
    </xf>
    <xf numFmtId="0" fontId="0" fillId="6" borderId="4" xfId="0" applyFill="1" applyBorder="1" applyAlignment="1">
      <alignment horizontal="center" vertical="center" wrapText="1"/>
    </xf>
    <xf numFmtId="0" fontId="0" fillId="7" borderId="4" xfId="0" applyFill="1" applyBorder="1" applyAlignment="1">
      <alignment horizontal="center" vertical="center" wrapText="1"/>
    </xf>
    <xf numFmtId="0" fontId="15" fillId="0" borderId="0" xfId="0" applyFont="1"/>
    <xf numFmtId="0" fontId="5" fillId="3"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vertical="top"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9" fontId="6" fillId="0" borderId="4" xfId="0" applyNumberFormat="1" applyFont="1" applyBorder="1" applyAlignment="1">
      <alignment horizontal="center" vertical="center"/>
    </xf>
    <xf numFmtId="9" fontId="7" fillId="0" borderId="4" xfId="0" applyNumberFormat="1" applyFont="1" applyBorder="1" applyAlignment="1">
      <alignment horizontal="center" vertical="center"/>
    </xf>
    <xf numFmtId="0" fontId="6" fillId="4" borderId="4" xfId="0" applyFont="1" applyFill="1" applyBorder="1" applyAlignment="1">
      <alignment horizontal="center" vertical="center" wrapText="1"/>
    </xf>
    <xf numFmtId="0" fontId="6" fillId="4" borderId="4" xfId="0" applyFont="1" applyFill="1" applyBorder="1" applyAlignment="1">
      <alignment vertical="top" wrapText="1"/>
    </xf>
    <xf numFmtId="0" fontId="7" fillId="4" borderId="4" xfId="0" applyFont="1" applyFill="1" applyBorder="1" applyAlignment="1">
      <alignment horizontal="center" vertical="center"/>
    </xf>
    <xf numFmtId="0" fontId="7" fillId="4" borderId="4" xfId="0"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7" fillId="4" borderId="4" xfId="0" applyNumberFormat="1" applyFont="1" applyFill="1" applyBorder="1" applyAlignment="1">
      <alignment horizontal="center" vertical="center"/>
    </xf>
    <xf numFmtId="0" fontId="2" fillId="0" borderId="4" xfId="0" applyFont="1" applyBorder="1"/>
    <xf numFmtId="0" fontId="0" fillId="0" borderId="4" xfId="0" applyBorder="1"/>
    <xf numFmtId="9" fontId="2" fillId="0" borderId="4" xfId="0" applyNumberFormat="1" applyFont="1" applyBorder="1"/>
    <xf numFmtId="0" fontId="0" fillId="0" borderId="0" xfId="0" applyAlignment="1">
      <alignment vertical="top" wrapText="1"/>
    </xf>
    <xf numFmtId="0" fontId="4" fillId="2" borderId="4" xfId="0" applyFont="1" applyFill="1" applyBorder="1" applyAlignment="1">
      <alignment horizontal="center" vertical="center" wrapText="1"/>
    </xf>
    <xf numFmtId="0" fontId="1" fillId="0" borderId="0" xfId="0" applyFont="1" applyAlignment="1"/>
    <xf numFmtId="0" fontId="0" fillId="0" borderId="0" xfId="0" applyAlignment="1"/>
    <xf numFmtId="0" fontId="2" fillId="0" borderId="0" xfId="0" applyFont="1" applyAlignment="1"/>
    <xf numFmtId="0" fontId="0" fillId="0" borderId="2" xfId="0" applyBorder="1" applyAlignment="1"/>
    <xf numFmtId="0" fontId="0" fillId="0" borderId="3" xfId="0" applyBorder="1" applyAlignment="1"/>
    <xf numFmtId="0" fontId="0" fillId="0" borderId="1" xfId="0" applyBorder="1" applyAlignment="1"/>
    <xf numFmtId="0" fontId="2" fillId="0" borderId="4" xfId="0" applyFont="1" applyBorder="1" applyAlignment="1"/>
    <xf numFmtId="0" fontId="9" fillId="0" borderId="0" xfId="0" applyFont="1" applyAlignment="1"/>
    <xf numFmtId="0" fontId="10"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2F2F2"/>
      <rgbColor rgb="FFD9E2F3"/>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4BACC6"/>
      <rgbColor rgb="FF9BBB59"/>
      <rgbColor rgb="FFFFCC00"/>
      <rgbColor rgb="FFF79646"/>
      <rgbColor rgb="FFFF6600"/>
      <rgbColor rgb="FF8064A2"/>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Inherent vs. Residual Risk by Scenario</a:t>
            </a:r>
          </a:p>
        </c:rich>
      </c:tx>
      <c:overlay val="1"/>
    </c:title>
    <c:autoTitleDeleted val="0"/>
    <c:plotArea>
      <c:layout/>
      <c:barChart>
        <c:barDir val="col"/>
        <c:grouping val="clustered"/>
        <c:varyColors val="1"/>
        <c:ser>
          <c:idx val="0"/>
          <c:order val="0"/>
          <c:tx>
            <c:v>Inherent Risk</c:v>
          </c:tx>
          <c:spPr>
            <a:ln>
              <a:prstDash val="solid"/>
            </a:ln>
          </c:spPr>
          <c:invertIfNegative val="1"/>
          <c:cat>
            <c:strRef>
              <c:f>'Risk Assessment Tool'!$A$5:$A$10</c:f>
              <c:strCache>
                <c:ptCount val="6"/>
                <c:pt idx="0">
                  <c:v>Data Breach</c:v>
                </c:pt>
                <c:pt idx="1">
                  <c:v>Phishing</c:v>
                </c:pt>
                <c:pt idx="2">
                  <c:v>Insider Threat</c:v>
                </c:pt>
                <c:pt idx="3">
                  <c:v>Compliance Violations</c:v>
                </c:pt>
                <c:pt idx="4">
                  <c:v>Web Application Attacks</c:v>
                </c:pt>
                <c:pt idx="5">
                  <c:v>Third Party Cloud Risks</c:v>
                </c:pt>
              </c:strCache>
            </c:strRef>
          </c:cat>
          <c:val>
            <c:numRef>
              <c:f>'Risk Assessment Tool'!$F$5:$F$10</c:f>
              <c:numCache>
                <c:formatCode>General</c:formatCode>
                <c:ptCount val="6"/>
                <c:pt idx="0">
                  <c:v>54</c:v>
                </c:pt>
                <c:pt idx="1">
                  <c:v>54</c:v>
                </c:pt>
                <c:pt idx="2">
                  <c:v>18</c:v>
                </c:pt>
                <c:pt idx="3">
                  <c:v>18</c:v>
                </c:pt>
                <c:pt idx="4">
                  <c:v>9</c:v>
                </c:pt>
                <c:pt idx="5">
                  <c:v>18</c:v>
                </c:pt>
              </c:numCache>
            </c:numRef>
          </c:val>
          <c:extLst>
            <c:ext xmlns:c16="http://schemas.microsoft.com/office/drawing/2014/chart" uri="{C3380CC4-5D6E-409C-BE32-E72D297353CC}">
              <c16:uniqueId val="{00000000-0490-4887-96E4-F172D56F08CA}"/>
            </c:ext>
          </c:extLst>
        </c:ser>
        <c:ser>
          <c:idx val="1"/>
          <c:order val="1"/>
          <c:tx>
            <c:v>Residual Risk (Best Control)</c:v>
          </c:tx>
          <c:spPr>
            <a:ln>
              <a:prstDash val="solid"/>
            </a:ln>
          </c:spPr>
          <c:invertIfNegative val="1"/>
          <c:cat>
            <c:strRef>
              <c:f>'Risk Assessment Tool'!$A$5:$A$10</c:f>
              <c:strCache>
                <c:ptCount val="6"/>
                <c:pt idx="0">
                  <c:v>Data Breach</c:v>
                </c:pt>
                <c:pt idx="1">
                  <c:v>Phishing</c:v>
                </c:pt>
                <c:pt idx="2">
                  <c:v>Insider Threat</c:v>
                </c:pt>
                <c:pt idx="3">
                  <c:v>Compliance Violations</c:v>
                </c:pt>
                <c:pt idx="4">
                  <c:v>Web Application Attacks</c:v>
                </c:pt>
                <c:pt idx="5">
                  <c:v>Third Party Cloud Risks</c:v>
                </c:pt>
              </c:strCache>
            </c:strRef>
          </c:cat>
          <c:val>
            <c:numRef>
              <c:f>'Risk Assessment Tool'!$Z$5:$Z$10</c:f>
              <c:numCache>
                <c:formatCode>General</c:formatCode>
                <c:ptCount val="6"/>
                <c:pt idx="0">
                  <c:v>8.1000000000000014</c:v>
                </c:pt>
                <c:pt idx="1">
                  <c:v>6.75</c:v>
                </c:pt>
                <c:pt idx="2">
                  <c:v>1.4399999999999997</c:v>
                </c:pt>
                <c:pt idx="3">
                  <c:v>0.81000000000000016</c:v>
                </c:pt>
                <c:pt idx="4">
                  <c:v>0.40500000000000008</c:v>
                </c:pt>
                <c:pt idx="5">
                  <c:v>0.81000000000000016</c:v>
                </c:pt>
              </c:numCache>
            </c:numRef>
          </c:val>
          <c:extLst>
            <c:ext xmlns:c16="http://schemas.microsoft.com/office/drawing/2014/chart" uri="{C3380CC4-5D6E-409C-BE32-E72D297353CC}">
              <c16:uniqueId val="{00000001-0490-4887-96E4-F172D56F08CA}"/>
            </c:ext>
          </c:extLst>
        </c:ser>
        <c:dLbls>
          <c:showLegendKey val="0"/>
          <c:showVal val="0"/>
          <c:showCatName val="0"/>
          <c:showSerName val="0"/>
          <c:showPercent val="0"/>
          <c:showBubbleSize val="0"/>
        </c:dLbls>
        <c:gapWidth val="60"/>
        <c:overlap val="-10"/>
        <c:axId val="10"/>
        <c:axId val="100"/>
      </c:barChart>
      <c:catAx>
        <c:axId val="10"/>
        <c:scaling>
          <c:orientation val="minMax"/>
        </c:scaling>
        <c:delete val="1"/>
        <c:axPos val="b"/>
        <c:title>
          <c:tx>
            <c:rich>
              <a:bodyPr/>
              <a:lstStyle/>
              <a:p>
                <a:pPr>
                  <a:defRPr/>
                </a:pPr>
                <a:r>
                  <a:rPr lang="en-US"/>
                  <a:t>Risk</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Risk Score</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Inherent vs. Residual Risk by Scenario</a:t>
            </a:r>
          </a:p>
        </c:rich>
      </c:tx>
      <c:overlay val="1"/>
    </c:title>
    <c:autoTitleDeleted val="0"/>
    <c:plotArea>
      <c:layout/>
      <c:barChart>
        <c:barDir val="col"/>
        <c:grouping val="clustered"/>
        <c:varyColors val="1"/>
        <c:ser>
          <c:idx val="0"/>
          <c:order val="0"/>
          <c:tx>
            <c:v>Inherent Risk</c:v>
          </c:tx>
          <c:spPr>
            <a:ln>
              <a:prstDash val="solid"/>
            </a:ln>
          </c:spPr>
          <c:invertIfNegative val="1"/>
          <c:cat>
            <c:strRef>
              <c:f>'Risk Assessment Tool'!$A$5:$A$10</c:f>
              <c:strCache>
                <c:ptCount val="6"/>
                <c:pt idx="0">
                  <c:v>Data Breach</c:v>
                </c:pt>
                <c:pt idx="1">
                  <c:v>Phishing</c:v>
                </c:pt>
                <c:pt idx="2">
                  <c:v>Insider Threat</c:v>
                </c:pt>
                <c:pt idx="3">
                  <c:v>Compliance Violations</c:v>
                </c:pt>
                <c:pt idx="4">
                  <c:v>Web Application Attacks</c:v>
                </c:pt>
                <c:pt idx="5">
                  <c:v>Third Party Cloud Risks</c:v>
                </c:pt>
              </c:strCache>
            </c:strRef>
          </c:cat>
          <c:val>
            <c:numRef>
              <c:f>'Risk Assessment Tool'!$F$5:$F$10</c:f>
              <c:numCache>
                <c:formatCode>General</c:formatCode>
                <c:ptCount val="6"/>
                <c:pt idx="0">
                  <c:v>54</c:v>
                </c:pt>
                <c:pt idx="1">
                  <c:v>54</c:v>
                </c:pt>
                <c:pt idx="2">
                  <c:v>18</c:v>
                </c:pt>
                <c:pt idx="3">
                  <c:v>18</c:v>
                </c:pt>
                <c:pt idx="4">
                  <c:v>9</c:v>
                </c:pt>
                <c:pt idx="5">
                  <c:v>18</c:v>
                </c:pt>
              </c:numCache>
            </c:numRef>
          </c:val>
          <c:extLst>
            <c:ext xmlns:c16="http://schemas.microsoft.com/office/drawing/2014/chart" uri="{C3380CC4-5D6E-409C-BE32-E72D297353CC}">
              <c16:uniqueId val="{00000000-2E15-4346-A6D8-6C5883C5417E}"/>
            </c:ext>
          </c:extLst>
        </c:ser>
        <c:ser>
          <c:idx val="1"/>
          <c:order val="1"/>
          <c:tx>
            <c:v>Residual Risk (Best Control)</c:v>
          </c:tx>
          <c:spPr>
            <a:ln>
              <a:prstDash val="solid"/>
            </a:ln>
          </c:spPr>
          <c:invertIfNegative val="1"/>
          <c:cat>
            <c:strRef>
              <c:f>'Risk Assessment Tool'!$A$5:$A$10</c:f>
              <c:strCache>
                <c:ptCount val="6"/>
                <c:pt idx="0">
                  <c:v>Data Breach</c:v>
                </c:pt>
                <c:pt idx="1">
                  <c:v>Phishing</c:v>
                </c:pt>
                <c:pt idx="2">
                  <c:v>Insider Threat</c:v>
                </c:pt>
                <c:pt idx="3">
                  <c:v>Compliance Violations</c:v>
                </c:pt>
                <c:pt idx="4">
                  <c:v>Web Application Attacks</c:v>
                </c:pt>
                <c:pt idx="5">
                  <c:v>Third Party Cloud Risks</c:v>
                </c:pt>
              </c:strCache>
            </c:strRef>
          </c:cat>
          <c:val>
            <c:numRef>
              <c:f>'Risk Assessment Tool'!$Z$5:$Z$10</c:f>
              <c:numCache>
                <c:formatCode>General</c:formatCode>
                <c:ptCount val="6"/>
                <c:pt idx="0">
                  <c:v>8.1000000000000014</c:v>
                </c:pt>
                <c:pt idx="1">
                  <c:v>6.75</c:v>
                </c:pt>
                <c:pt idx="2">
                  <c:v>1.4399999999999997</c:v>
                </c:pt>
                <c:pt idx="3">
                  <c:v>0.81000000000000016</c:v>
                </c:pt>
                <c:pt idx="4">
                  <c:v>0.40500000000000008</c:v>
                </c:pt>
                <c:pt idx="5">
                  <c:v>0.81000000000000016</c:v>
                </c:pt>
              </c:numCache>
            </c:numRef>
          </c:val>
          <c:extLst>
            <c:ext xmlns:c16="http://schemas.microsoft.com/office/drawing/2014/chart" uri="{C3380CC4-5D6E-409C-BE32-E72D297353CC}">
              <c16:uniqueId val="{00000001-2E15-4346-A6D8-6C5883C5417E}"/>
            </c:ext>
          </c:extLst>
        </c:ser>
        <c:dLbls>
          <c:showLegendKey val="0"/>
          <c:showVal val="0"/>
          <c:showCatName val="0"/>
          <c:showSerName val="0"/>
          <c:showPercent val="0"/>
          <c:showBubbleSize val="0"/>
        </c:dLbls>
        <c:gapWidth val="60"/>
        <c:overlap val="-10"/>
        <c:axId val="10"/>
        <c:axId val="100"/>
      </c:barChart>
      <c:catAx>
        <c:axId val="10"/>
        <c:scaling>
          <c:orientation val="minMax"/>
        </c:scaling>
        <c:delete val="1"/>
        <c:axPos val="b"/>
        <c:title>
          <c:tx>
            <c:rich>
              <a:bodyPr/>
              <a:lstStyle/>
              <a:p>
                <a:pPr>
                  <a:defRPr/>
                </a:pPr>
                <a:r>
                  <a:rPr lang="en-US"/>
                  <a:t>Risk</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Risk Score</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Average Risk Reduction by Control</a:t>
            </a:r>
          </a:p>
        </c:rich>
      </c:tx>
      <c:overlay val="1"/>
    </c:title>
    <c:autoTitleDeleted val="0"/>
    <c:plotArea>
      <c:layout>
        <c:manualLayout>
          <c:layoutTarget val="inner"/>
          <c:xMode val="edge"/>
          <c:yMode val="edge"/>
          <c:x val="0.15096855156167005"/>
          <c:y val="0.17273435767981035"/>
          <c:w val="0.84903144843833001"/>
          <c:h val="0.82726564232018962"/>
        </c:manualLayout>
      </c:layout>
      <c:barChart>
        <c:barDir val="bar"/>
        <c:grouping val="clustered"/>
        <c:varyColors val="1"/>
        <c:ser>
          <c:idx val="0"/>
          <c:order val="0"/>
          <c:tx>
            <c:v>Avg. Risk Reduction</c:v>
          </c:tx>
          <c:spPr>
            <a:ln>
              <a:prstDash val="solid"/>
            </a:ln>
          </c:spPr>
          <c:invertIfNegative val="1"/>
          <c:cat>
            <c:strRef>
              <c:f>Dashboard!$A$29:$A$34</c:f>
              <c:strCache>
                <c:ptCount val="6"/>
                <c:pt idx="0">
                  <c:v>Third-Party Security Audits</c:v>
                </c:pt>
                <c:pt idx="1">
                  <c:v>Compliance Team &amp; Framework</c:v>
                </c:pt>
                <c:pt idx="2">
                  <c:v>Access Control List</c:v>
                </c:pt>
                <c:pt idx="3">
                  <c:v>Cybersecurity Training for Employees</c:v>
                </c:pt>
                <c:pt idx="4">
                  <c:v>Web Application Firewall</c:v>
                </c:pt>
                <c:pt idx="5">
                  <c:v>Data Encryption</c:v>
                </c:pt>
              </c:strCache>
            </c:strRef>
          </c:cat>
          <c:val>
            <c:numRef>
              <c:f>Dashboard!$B$29:$B$34</c:f>
              <c:numCache>
                <c:formatCode>0%</c:formatCode>
                <c:ptCount val="6"/>
                <c:pt idx="0">
                  <c:v>0.83458333333333334</c:v>
                </c:pt>
                <c:pt idx="1">
                  <c:v>0.75916666666666677</c:v>
                </c:pt>
                <c:pt idx="2">
                  <c:v>0.72416666666666663</c:v>
                </c:pt>
                <c:pt idx="3">
                  <c:v>0.65416666666666667</c:v>
                </c:pt>
                <c:pt idx="4">
                  <c:v>0.65083333333333349</c:v>
                </c:pt>
                <c:pt idx="5">
                  <c:v>0.62333333333333329</c:v>
                </c:pt>
              </c:numCache>
            </c:numRef>
          </c:val>
          <c:extLst>
            <c:ext xmlns:c16="http://schemas.microsoft.com/office/drawing/2014/chart" uri="{C3380CC4-5D6E-409C-BE32-E72D297353CC}">
              <c16:uniqueId val="{00000000-1E0C-439D-A666-5CCF9505081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Avg. Risk Reduction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hyperlink" Target="#'Risk Assessment Tool'!A1"/><Relationship Id="rId1" Type="http://schemas.openxmlformats.org/officeDocument/2006/relationships/hyperlink" Target="#'Tutorial Screen'!A1"/></Relationships>
</file>

<file path=xl/drawings/_rels/drawing2.xml.rels><?xml version="1.0" encoding="UTF-8" standalone="yes"?>
<Relationships xmlns="http://schemas.openxmlformats.org/package/2006/relationships"><Relationship Id="rId2" Type="http://schemas.openxmlformats.org/officeDocument/2006/relationships/hyperlink" Target="#'Risk Assessment Tool'!A1"/><Relationship Id="rId1" Type="http://schemas.openxmlformats.org/officeDocument/2006/relationships/hyperlink" Target="#'Introduction Screen'!A1"/></Relationships>
</file>

<file path=xl/drawings/_rels/drawing3.xml.rels><?xml version="1.0" encoding="UTF-8" standalone="yes"?>
<Relationships xmlns="http://schemas.openxmlformats.org/package/2006/relationships"><Relationship Id="rId2" Type="http://schemas.openxmlformats.org/officeDocument/2006/relationships/hyperlink" Target="#'Introduction Screen'!A1"/><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hyperlink" Target="#'Introduction Screen'!A1"/><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17145</xdr:colOff>
      <xdr:row>9</xdr:row>
      <xdr:rowOff>5715</xdr:rowOff>
    </xdr:from>
    <xdr:to>
      <xdr:col>0</xdr:col>
      <xdr:colOff>1417321</xdr:colOff>
      <xdr:row>10</xdr:row>
      <xdr:rowOff>129540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9498894-0C4E-520A-6144-01E505BD8E5E}"/>
            </a:ext>
          </a:extLst>
        </xdr:cNvPr>
        <xdr:cNvSpPr/>
      </xdr:nvSpPr>
      <xdr:spPr>
        <a:xfrm>
          <a:off x="17145" y="1964055"/>
          <a:ext cx="1400176" cy="32194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u="sng">
              <a:solidFill>
                <a:schemeClr val="tx1"/>
              </a:solidFill>
              <a:effectLst/>
              <a:latin typeface="+mn-lt"/>
              <a:ea typeface="+mn-ea"/>
              <a:cs typeface="+mn-cs"/>
            </a:rPr>
            <a:t>▶</a:t>
          </a:r>
          <a:r>
            <a:rPr lang="en-US" sz="1100" b="1" u="sng" baseline="0">
              <a:solidFill>
                <a:schemeClr val="tx1"/>
              </a:solidFill>
              <a:effectLst/>
              <a:latin typeface="+mn-lt"/>
              <a:ea typeface="+mn-ea"/>
              <a:cs typeface="+mn-cs"/>
            </a:rPr>
            <a:t>  </a:t>
          </a:r>
          <a:r>
            <a:rPr lang="en-US" sz="1100" b="1" u="sng">
              <a:solidFill>
                <a:schemeClr val="tx1"/>
              </a:solidFill>
              <a:effectLst/>
              <a:latin typeface="+mn-lt"/>
              <a:ea typeface="+mn-ea"/>
              <a:cs typeface="+mn-cs"/>
            </a:rPr>
            <a:t>View</a:t>
          </a:r>
          <a:r>
            <a:rPr lang="en-US" sz="1100" b="1" u="sng" baseline="0">
              <a:solidFill>
                <a:schemeClr val="tx1"/>
              </a:solidFill>
              <a:effectLst/>
              <a:latin typeface="+mn-lt"/>
              <a:ea typeface="+mn-ea"/>
              <a:cs typeface="+mn-cs"/>
            </a:rPr>
            <a:t> the tutorial</a:t>
          </a:r>
          <a:endParaRPr lang="en-US" b="1" u="sng">
            <a:solidFill>
              <a:schemeClr val="tx1"/>
            </a:solidFill>
            <a:effectLst/>
          </a:endParaRPr>
        </a:p>
      </xdr:txBody>
    </xdr:sp>
    <xdr:clientData/>
  </xdr:twoCellAnchor>
  <xdr:twoCellAnchor>
    <xdr:from>
      <xdr:col>0</xdr:col>
      <xdr:colOff>15240</xdr:colOff>
      <xdr:row>10</xdr:row>
      <xdr:rowOff>152400</xdr:rowOff>
    </xdr:from>
    <xdr:to>
      <xdr:col>0</xdr:col>
      <xdr:colOff>2209800</xdr:colOff>
      <xdr:row>12</xdr:row>
      <xdr:rowOff>93345</xdr:rowOff>
    </xdr:to>
    <xdr:sp macro="" textlink="">
      <xdr:nvSpPr>
        <xdr:cNvPr id="3" name="Rounded Rectangle 1">
          <a:hlinkClick xmlns:r="http://schemas.openxmlformats.org/officeDocument/2006/relationships" r:id="rId2"/>
          <a:extLst>
            <a:ext uri="{FF2B5EF4-FFF2-40B4-BE49-F238E27FC236}">
              <a16:creationId xmlns:a16="http://schemas.microsoft.com/office/drawing/2014/main" id="{981291CC-7133-4D44-93F8-E4B34E3905BC}"/>
            </a:ext>
          </a:extLst>
        </xdr:cNvPr>
        <xdr:cNvSpPr/>
      </xdr:nvSpPr>
      <xdr:spPr>
        <a:xfrm>
          <a:off x="15240" y="2308860"/>
          <a:ext cx="2194560" cy="32194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b="1" u="sng">
              <a:solidFill>
                <a:schemeClr val="tx1"/>
              </a:solidFill>
            </a:rPr>
            <a:t>▶</a:t>
          </a:r>
          <a:r>
            <a:rPr lang="en-US" b="1" u="sng" baseline="0">
              <a:solidFill>
                <a:schemeClr val="tx1"/>
              </a:solidFill>
            </a:rPr>
            <a:t>  Go to the Risk Assessment Tool</a:t>
          </a:r>
          <a:endParaRPr lang="en-US" b="1" u="sng">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20</xdr:row>
      <xdr:rowOff>83820</xdr:rowOff>
    </xdr:from>
    <xdr:to>
      <xdr:col>0</xdr:col>
      <xdr:colOff>2217420</xdr:colOff>
      <xdr:row>22</xdr:row>
      <xdr:rowOff>24765</xdr:rowOff>
    </xdr:to>
    <xdr:sp macro="" textlink="">
      <xdr:nvSpPr>
        <xdr:cNvPr id="3" name="Rounded Rectangle 1">
          <a:hlinkClick xmlns:r="http://schemas.openxmlformats.org/officeDocument/2006/relationships" r:id="rId1"/>
          <a:extLst>
            <a:ext uri="{FF2B5EF4-FFF2-40B4-BE49-F238E27FC236}">
              <a16:creationId xmlns:a16="http://schemas.microsoft.com/office/drawing/2014/main" id="{0D3595CE-EEE8-41FA-AA0A-1A0A570049C1}"/>
            </a:ext>
          </a:extLst>
        </xdr:cNvPr>
        <xdr:cNvSpPr/>
      </xdr:nvSpPr>
      <xdr:spPr>
        <a:xfrm>
          <a:off x="22860" y="5105400"/>
          <a:ext cx="2194560" cy="32194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b="1" u="sng">
              <a:solidFill>
                <a:schemeClr val="tx1"/>
              </a:solidFill>
            </a:rPr>
            <a:t>◀</a:t>
          </a:r>
          <a:r>
            <a:rPr lang="en-US" b="1" u="sng" baseline="0">
              <a:solidFill>
                <a:schemeClr val="tx1"/>
              </a:solidFill>
            </a:rPr>
            <a:t>  Back to Introduction Screen</a:t>
          </a:r>
        </a:p>
      </xdr:txBody>
    </xdr:sp>
    <xdr:clientData/>
  </xdr:twoCellAnchor>
  <xdr:twoCellAnchor>
    <xdr:from>
      <xdr:col>0</xdr:col>
      <xdr:colOff>22860</xdr:colOff>
      <xdr:row>22</xdr:row>
      <xdr:rowOff>38100</xdr:rowOff>
    </xdr:from>
    <xdr:to>
      <xdr:col>0</xdr:col>
      <xdr:colOff>2247900</xdr:colOff>
      <xdr:row>23</xdr:row>
      <xdr:rowOff>161925</xdr:rowOff>
    </xdr:to>
    <xdr:sp macro="" textlink="">
      <xdr:nvSpPr>
        <xdr:cNvPr id="4" name="Rounded Rectangle 1">
          <a:hlinkClick xmlns:r="http://schemas.openxmlformats.org/officeDocument/2006/relationships" r:id="rId2"/>
          <a:extLst>
            <a:ext uri="{FF2B5EF4-FFF2-40B4-BE49-F238E27FC236}">
              <a16:creationId xmlns:a16="http://schemas.microsoft.com/office/drawing/2014/main" id="{02DDCFBA-6943-47B4-836A-6EF6F80E6263}"/>
            </a:ext>
          </a:extLst>
        </xdr:cNvPr>
        <xdr:cNvSpPr/>
      </xdr:nvSpPr>
      <xdr:spPr>
        <a:xfrm>
          <a:off x="22860" y="5440680"/>
          <a:ext cx="2225040" cy="32194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b="1" u="sng">
              <a:solidFill>
                <a:schemeClr val="tx1"/>
              </a:solidFill>
            </a:rPr>
            <a:t>▶</a:t>
          </a:r>
          <a:r>
            <a:rPr lang="en-US" b="1" u="sng" baseline="0">
              <a:solidFill>
                <a:schemeClr val="tx1"/>
              </a:solidFill>
            </a:rPr>
            <a:t>  Go to the Risk Assessment Tool</a:t>
          </a:r>
          <a:endParaRPr lang="en-US" b="1" u="sng">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8</xdr:col>
      <xdr:colOff>289560</xdr:colOff>
      <xdr:row>46</xdr:row>
      <xdr:rowOff>128880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47</xdr:row>
      <xdr:rowOff>91440</xdr:rowOff>
    </xdr:from>
    <xdr:to>
      <xdr:col>1</xdr:col>
      <xdr:colOff>685800</xdr:colOff>
      <xdr:row>49</xdr:row>
      <xdr:rowOff>47625</xdr:rowOff>
    </xdr:to>
    <xdr:sp macro="" textlink="">
      <xdr:nvSpPr>
        <xdr:cNvPr id="3" name="Rounded Rectangle 1">
          <a:hlinkClick xmlns:r="http://schemas.openxmlformats.org/officeDocument/2006/relationships" r:id="rId2"/>
          <a:extLst>
            <a:ext uri="{FF2B5EF4-FFF2-40B4-BE49-F238E27FC236}">
              <a16:creationId xmlns:a16="http://schemas.microsoft.com/office/drawing/2014/main" id="{1C1DF823-A912-47D6-BB42-84D0755F25B7}"/>
            </a:ext>
          </a:extLst>
        </xdr:cNvPr>
        <xdr:cNvSpPr/>
      </xdr:nvSpPr>
      <xdr:spPr>
        <a:xfrm>
          <a:off x="0" y="11376660"/>
          <a:ext cx="2194560" cy="32194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b="1" u="sng">
              <a:solidFill>
                <a:schemeClr val="tx1"/>
              </a:solidFill>
            </a:rPr>
            <a:t>◀</a:t>
          </a:r>
          <a:r>
            <a:rPr lang="en-US" b="1" u="sng" baseline="0">
              <a:solidFill>
                <a:schemeClr val="tx1"/>
              </a:solidFill>
            </a:rPr>
            <a:t>  Back to Introduction Screen</a:t>
          </a:r>
        </a:p>
      </xdr:txBody>
    </xdr:sp>
    <xdr:clientData/>
  </xdr:twoCellAnchor>
  <xdr:twoCellAnchor>
    <xdr:from>
      <xdr:col>0</xdr:col>
      <xdr:colOff>0</xdr:colOff>
      <xdr:row>49</xdr:row>
      <xdr:rowOff>60960</xdr:rowOff>
    </xdr:from>
    <xdr:to>
      <xdr:col>1</xdr:col>
      <xdr:colOff>685800</xdr:colOff>
      <xdr:row>51</xdr:row>
      <xdr:rowOff>17145</xdr:rowOff>
    </xdr:to>
    <xdr:sp macro="" textlink="">
      <xdr:nvSpPr>
        <xdr:cNvPr id="4" name="Rounded Rectangle 1">
          <a:hlinkClick xmlns:r="http://schemas.openxmlformats.org/officeDocument/2006/relationships" r:id="rId2"/>
          <a:extLst>
            <a:ext uri="{FF2B5EF4-FFF2-40B4-BE49-F238E27FC236}">
              <a16:creationId xmlns:a16="http://schemas.microsoft.com/office/drawing/2014/main" id="{7836C572-1FFC-4EF3-B357-5608C7CED27A}"/>
            </a:ext>
          </a:extLst>
        </xdr:cNvPr>
        <xdr:cNvSpPr/>
      </xdr:nvSpPr>
      <xdr:spPr>
        <a:xfrm>
          <a:off x="0" y="11711940"/>
          <a:ext cx="2194560" cy="32194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1" u="sng">
              <a:solidFill>
                <a:schemeClr val="tx1"/>
              </a:solidFill>
              <a:effectLst/>
              <a:latin typeface="+mn-lt"/>
              <a:ea typeface="+mn-ea"/>
              <a:cs typeface="+mn-cs"/>
            </a:rPr>
            <a:t>▶</a:t>
          </a:r>
          <a:r>
            <a:rPr lang="en-US" b="1" u="sng" baseline="0">
              <a:solidFill>
                <a:schemeClr val="tx1"/>
              </a:solidFill>
            </a:rPr>
            <a:t>  Go to Visual Dashboard</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4</xdr:row>
      <xdr:rowOff>0</xdr:rowOff>
    </xdr:from>
    <xdr:ext cx="7920000" cy="396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110065</xdr:colOff>
      <xdr:row>27</xdr:row>
      <xdr:rowOff>8467</xdr:rowOff>
    </xdr:from>
    <xdr:ext cx="3115735" cy="1470466"/>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0</xdr:col>
      <xdr:colOff>0</xdr:colOff>
      <xdr:row>45</xdr:row>
      <xdr:rowOff>25400</xdr:rowOff>
    </xdr:from>
    <xdr:to>
      <xdr:col>1</xdr:col>
      <xdr:colOff>137160</xdr:colOff>
      <xdr:row>46</xdr:row>
      <xdr:rowOff>161078</xdr:rowOff>
    </xdr:to>
    <xdr:sp macro="" textlink="">
      <xdr:nvSpPr>
        <xdr:cNvPr id="5" name="Rounded Rectangle 1">
          <a:hlinkClick xmlns:r="http://schemas.openxmlformats.org/officeDocument/2006/relationships" r:id="rId3"/>
          <a:extLst>
            <a:ext uri="{FF2B5EF4-FFF2-40B4-BE49-F238E27FC236}">
              <a16:creationId xmlns:a16="http://schemas.microsoft.com/office/drawing/2014/main" id="{C4079D89-C04E-407B-88C0-997E5DDED337}"/>
            </a:ext>
          </a:extLst>
        </xdr:cNvPr>
        <xdr:cNvSpPr/>
      </xdr:nvSpPr>
      <xdr:spPr>
        <a:xfrm>
          <a:off x="0" y="10083800"/>
          <a:ext cx="2194560" cy="32194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b="1" u="sng">
              <a:solidFill>
                <a:schemeClr val="tx1"/>
              </a:solidFill>
            </a:rPr>
            <a:t>◀</a:t>
          </a:r>
          <a:r>
            <a:rPr lang="en-US" b="1" u="sng" baseline="0">
              <a:solidFill>
                <a:schemeClr val="tx1"/>
              </a:solidFill>
            </a:rPr>
            <a:t>  Back to Risk Assessment Tool</a:t>
          </a: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showGridLines="0" zoomScaleNormal="100" workbookViewId="0">
      <selection sqref="A1:F1"/>
    </sheetView>
  </sheetViews>
  <sheetFormatPr defaultColWidth="8.7109375" defaultRowHeight="14.45"/>
  <cols>
    <col min="1" max="1" width="40" customWidth="1"/>
    <col min="2" max="6" width="16" customWidth="1"/>
  </cols>
  <sheetData>
    <row r="1" spans="1:6" ht="21" customHeight="1">
      <c r="A1" s="37" t="s">
        <v>0</v>
      </c>
      <c r="B1" s="38"/>
      <c r="C1" s="38"/>
      <c r="D1" s="38"/>
      <c r="E1" s="38"/>
      <c r="F1" s="38"/>
    </row>
    <row r="3" spans="1:6" ht="18" customHeight="1">
      <c r="A3" s="35" t="s">
        <v>1</v>
      </c>
      <c r="B3" s="38"/>
      <c r="C3" s="38"/>
      <c r="D3" s="38"/>
      <c r="E3" s="38"/>
      <c r="F3" s="38"/>
    </row>
    <row r="4" spans="1:6" ht="18" customHeight="1">
      <c r="A4" s="38"/>
      <c r="B4" s="38"/>
      <c r="C4" s="38"/>
      <c r="D4" s="38"/>
      <c r="E4" s="38"/>
      <c r="F4" s="38"/>
    </row>
    <row r="5" spans="1:6" ht="18" customHeight="1">
      <c r="A5" s="38"/>
      <c r="B5" s="38"/>
      <c r="C5" s="38"/>
      <c r="D5" s="38"/>
      <c r="E5" s="38"/>
      <c r="F5" s="38"/>
    </row>
    <row r="6" spans="1:6" ht="18" customHeight="1">
      <c r="A6" s="38"/>
      <c r="B6" s="38"/>
      <c r="C6" s="38"/>
      <c r="D6" s="38"/>
      <c r="E6" s="38"/>
      <c r="F6" s="38"/>
    </row>
    <row r="7" spans="1:6" ht="18" customHeight="1">
      <c r="A7" s="38"/>
      <c r="B7" s="38"/>
      <c r="C7" s="38"/>
      <c r="D7" s="38"/>
      <c r="E7" s="38"/>
      <c r="F7" s="38"/>
    </row>
    <row r="9" spans="1:6">
      <c r="A9" s="1" t="s">
        <v>2</v>
      </c>
    </row>
    <row r="10" spans="1:6" ht="15.6" customHeight="1">
      <c r="A10" s="2"/>
    </row>
    <row r="11" spans="1:6" ht="15.6" customHeight="1">
      <c r="A11" s="2"/>
    </row>
  </sheetData>
  <mergeCells count="2">
    <mergeCell ref="A3:F7"/>
    <mergeCell ref="A1:F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topLeftCell="A16" zoomScaleNormal="100" workbookViewId="0">
      <selection activeCell="A21" sqref="A21"/>
    </sheetView>
  </sheetViews>
  <sheetFormatPr defaultColWidth="8.7109375" defaultRowHeight="14.45"/>
  <cols>
    <col min="1" max="1" width="90" customWidth="1"/>
    <col min="2" max="6" width="12" customWidth="1"/>
  </cols>
  <sheetData>
    <row r="1" spans="1:6" ht="21" customHeight="1">
      <c r="A1" s="37" t="s">
        <v>3</v>
      </c>
      <c r="B1" s="38"/>
      <c r="C1" s="38"/>
      <c r="D1" s="38"/>
      <c r="E1" s="38"/>
      <c r="F1" s="38"/>
    </row>
    <row r="3" spans="1:6">
      <c r="A3" s="39" t="s">
        <v>4</v>
      </c>
      <c r="B3" s="38"/>
      <c r="C3" s="38"/>
      <c r="D3" s="38"/>
      <c r="E3" s="38"/>
      <c r="F3" s="38"/>
    </row>
    <row r="4" spans="1:6" ht="31.5" customHeight="1">
      <c r="A4" s="35" t="s">
        <v>5</v>
      </c>
      <c r="B4" s="38"/>
      <c r="C4" s="38"/>
      <c r="D4" s="38"/>
      <c r="E4" s="38"/>
      <c r="F4" s="38"/>
    </row>
    <row r="6" spans="1:6">
      <c r="A6" s="39" t="s">
        <v>6</v>
      </c>
      <c r="B6" s="38"/>
      <c r="C6" s="38"/>
      <c r="D6" s="38"/>
      <c r="E6" s="38"/>
      <c r="F6" s="38"/>
    </row>
    <row r="7" spans="1:6" ht="31.5" customHeight="1">
      <c r="A7" s="35" t="s">
        <v>7</v>
      </c>
      <c r="B7" s="38"/>
      <c r="C7" s="38"/>
      <c r="D7" s="38"/>
      <c r="E7" s="38"/>
      <c r="F7" s="38"/>
    </row>
    <row r="9" spans="1:6">
      <c r="A9" s="39" t="s">
        <v>8</v>
      </c>
      <c r="B9" s="38"/>
      <c r="C9" s="38"/>
      <c r="D9" s="38"/>
      <c r="E9" s="38"/>
      <c r="F9" s="38"/>
    </row>
    <row r="10" spans="1:6" ht="31.5" customHeight="1">
      <c r="A10" s="35" t="s">
        <v>9</v>
      </c>
      <c r="B10" s="38"/>
      <c r="C10" s="38"/>
      <c r="D10" s="38"/>
      <c r="E10" s="38"/>
      <c r="F10" s="38"/>
    </row>
    <row r="12" spans="1:6">
      <c r="A12" s="39" t="s">
        <v>10</v>
      </c>
      <c r="B12" s="38"/>
      <c r="C12" s="38"/>
      <c r="D12" s="38"/>
      <c r="E12" s="38"/>
      <c r="F12" s="38"/>
    </row>
    <row r="13" spans="1:6" ht="31.5" customHeight="1">
      <c r="A13" s="35" t="s">
        <v>11</v>
      </c>
      <c r="B13" s="38"/>
      <c r="C13" s="38"/>
      <c r="D13" s="38"/>
      <c r="E13" s="38"/>
      <c r="F13" s="38"/>
    </row>
    <row r="15" spans="1:6">
      <c r="A15" s="39" t="s">
        <v>12</v>
      </c>
      <c r="B15" s="38"/>
      <c r="C15" s="38"/>
      <c r="D15" s="38"/>
      <c r="E15" s="38"/>
      <c r="F15" s="38"/>
    </row>
    <row r="16" spans="1:6" ht="31.5" customHeight="1">
      <c r="A16" s="35" t="s">
        <v>13</v>
      </c>
      <c r="B16" s="38"/>
      <c r="C16" s="38"/>
      <c r="D16" s="38"/>
      <c r="E16" s="38"/>
      <c r="F16" s="38"/>
    </row>
    <row r="18" spans="1:6">
      <c r="A18" s="39" t="s">
        <v>14</v>
      </c>
      <c r="B18" s="38"/>
      <c r="C18" s="38"/>
      <c r="D18" s="38"/>
      <c r="E18" s="38"/>
      <c r="F18" s="38"/>
    </row>
    <row r="19" spans="1:6" ht="31.5" customHeight="1">
      <c r="A19" s="35" t="s">
        <v>15</v>
      </c>
      <c r="B19" s="38"/>
      <c r="C19" s="38"/>
      <c r="D19" s="38"/>
      <c r="E19" s="38"/>
      <c r="F19" s="38"/>
    </row>
    <row r="22" spans="1:6" ht="15.6" customHeight="1">
      <c r="A22" s="2"/>
    </row>
    <row r="23" spans="1:6" ht="15.6" customHeight="1">
      <c r="A23" s="2"/>
    </row>
  </sheetData>
  <mergeCells count="13">
    <mergeCell ref="A16:F16"/>
    <mergeCell ref="A10:F10"/>
    <mergeCell ref="A19:F19"/>
    <mergeCell ref="A13:F13"/>
    <mergeCell ref="A1:F1"/>
    <mergeCell ref="A9:F9"/>
    <mergeCell ref="A6:F6"/>
    <mergeCell ref="A18:F18"/>
    <mergeCell ref="A4:F4"/>
    <mergeCell ref="A12:F12"/>
    <mergeCell ref="A3:F3"/>
    <mergeCell ref="A15:F15"/>
    <mergeCell ref="A7:F7"/>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9"/>
  <sheetViews>
    <sheetView showGridLines="0" topLeftCell="N1" zoomScaleNormal="100" workbookViewId="0">
      <pane ySplit="4" topLeftCell="A5" activePane="bottomLeft" state="frozen"/>
      <selection pane="bottomLeft" sqref="A1:AB1"/>
    </sheetView>
  </sheetViews>
  <sheetFormatPr defaultColWidth="8.7109375" defaultRowHeight="14.45"/>
  <cols>
    <col min="1" max="1" width="22" customWidth="1"/>
    <col min="2" max="2" width="34" customWidth="1"/>
    <col min="3" max="3" width="22" customWidth="1"/>
    <col min="4" max="5" width="11" customWidth="1"/>
    <col min="6" max="7" width="12" customWidth="1"/>
    <col min="8" max="9" width="13" customWidth="1"/>
    <col min="10" max="10" width="12" customWidth="1"/>
    <col min="11" max="12" width="13" customWidth="1"/>
    <col min="13" max="13" width="12" customWidth="1"/>
    <col min="14" max="15" width="13" customWidth="1"/>
    <col min="16" max="16" width="12" customWidth="1"/>
    <col min="17" max="18" width="13" customWidth="1"/>
    <col min="19" max="19" width="12" customWidth="1"/>
    <col min="20" max="21" width="13" customWidth="1"/>
    <col min="22" max="22" width="12" customWidth="1"/>
    <col min="23" max="24" width="13" customWidth="1"/>
    <col min="25" max="25" width="12" customWidth="1"/>
    <col min="26" max="26" width="13" customWidth="1"/>
    <col min="27" max="27" width="22" customWidth="1"/>
    <col min="28" max="28" width="14" customWidth="1"/>
  </cols>
  <sheetData>
    <row r="1" spans="1:28" ht="24" customHeight="1">
      <c r="A1" s="37" t="s">
        <v>16</v>
      </c>
      <c r="B1" s="38"/>
      <c r="C1" s="38"/>
      <c r="D1" s="38"/>
      <c r="E1" s="38"/>
      <c r="F1" s="38"/>
      <c r="G1" s="38"/>
      <c r="H1" s="38"/>
      <c r="I1" s="38"/>
      <c r="J1" s="38"/>
      <c r="K1" s="38"/>
      <c r="L1" s="38"/>
      <c r="M1" s="38"/>
      <c r="N1" s="38"/>
      <c r="O1" s="38"/>
      <c r="P1" s="38"/>
      <c r="Q1" s="38"/>
      <c r="R1" s="38"/>
      <c r="S1" s="38"/>
      <c r="T1" s="38"/>
      <c r="U1" s="38"/>
      <c r="V1" s="38"/>
      <c r="W1" s="38"/>
      <c r="X1" s="38"/>
      <c r="Y1" s="38"/>
      <c r="Z1" s="38"/>
      <c r="AA1" s="38"/>
      <c r="AB1" s="38"/>
    </row>
    <row r="3" spans="1:28" ht="19.5" customHeight="1">
      <c r="A3" s="36" t="s">
        <v>17</v>
      </c>
      <c r="B3" s="36" t="s">
        <v>18</v>
      </c>
      <c r="C3" s="36" t="s">
        <v>19</v>
      </c>
      <c r="D3" s="36" t="s">
        <v>20</v>
      </c>
      <c r="E3" s="36" t="s">
        <v>21</v>
      </c>
      <c r="F3" s="36" t="s">
        <v>22</v>
      </c>
      <c r="G3" s="36" t="s">
        <v>23</v>
      </c>
      <c r="H3" s="36" t="s">
        <v>24</v>
      </c>
      <c r="I3" s="40"/>
      <c r="J3" s="41"/>
      <c r="K3" s="36" t="s">
        <v>25</v>
      </c>
      <c r="L3" s="40"/>
      <c r="M3" s="41"/>
      <c r="N3" s="36" t="s">
        <v>26</v>
      </c>
      <c r="O3" s="40"/>
      <c r="P3" s="41"/>
      <c r="Q3" s="36" t="s">
        <v>27</v>
      </c>
      <c r="R3" s="40"/>
      <c r="S3" s="41"/>
      <c r="T3" s="36" t="s">
        <v>28</v>
      </c>
      <c r="U3" s="40"/>
      <c r="V3" s="41"/>
      <c r="W3" s="36" t="s">
        <v>29</v>
      </c>
      <c r="X3" s="40"/>
      <c r="Y3" s="41"/>
      <c r="Z3" s="36" t="s">
        <v>30</v>
      </c>
      <c r="AA3" s="36" t="s">
        <v>31</v>
      </c>
      <c r="AB3" s="36" t="s">
        <v>32</v>
      </c>
    </row>
    <row r="4" spans="1:28" ht="30" customHeight="1">
      <c r="A4" s="42"/>
      <c r="B4" s="42"/>
      <c r="C4" s="42"/>
      <c r="D4" s="42"/>
      <c r="E4" s="42"/>
      <c r="F4" s="42"/>
      <c r="G4" s="42"/>
      <c r="H4" s="19" t="s">
        <v>33</v>
      </c>
      <c r="I4" s="19" t="s">
        <v>34</v>
      </c>
      <c r="J4" s="19" t="s">
        <v>35</v>
      </c>
      <c r="K4" s="19" t="s">
        <v>33</v>
      </c>
      <c r="L4" s="19" t="s">
        <v>34</v>
      </c>
      <c r="M4" s="19" t="s">
        <v>35</v>
      </c>
      <c r="N4" s="19" t="s">
        <v>33</v>
      </c>
      <c r="O4" s="19" t="s">
        <v>34</v>
      </c>
      <c r="P4" s="19" t="s">
        <v>35</v>
      </c>
      <c r="Q4" s="19" t="s">
        <v>33</v>
      </c>
      <c r="R4" s="19" t="s">
        <v>34</v>
      </c>
      <c r="S4" s="19" t="s">
        <v>35</v>
      </c>
      <c r="T4" s="19" t="s">
        <v>33</v>
      </c>
      <c r="U4" s="19" t="s">
        <v>34</v>
      </c>
      <c r="V4" s="19" t="s">
        <v>35</v>
      </c>
      <c r="W4" s="19" t="s">
        <v>33</v>
      </c>
      <c r="X4" s="19" t="s">
        <v>34</v>
      </c>
      <c r="Y4" s="19" t="s">
        <v>35</v>
      </c>
      <c r="Z4" s="42"/>
      <c r="AA4" s="42"/>
      <c r="AB4" s="42"/>
    </row>
    <row r="5" spans="1:28" ht="39.75" customHeight="1">
      <c r="A5" s="20" t="s">
        <v>36</v>
      </c>
      <c r="B5" s="21" t="s">
        <v>37</v>
      </c>
      <c r="C5" s="20" t="s">
        <v>38</v>
      </c>
      <c r="D5" s="20" t="s">
        <v>39</v>
      </c>
      <c r="E5" s="20" t="s">
        <v>40</v>
      </c>
      <c r="F5" s="22">
        <f t="shared" ref="F5:F10" si="0">_xlfn.SWITCH(D5,"LOW",3,"MEDIUM",6,"HIGH",9)*_xlfn.SWITCH(E5,"LOW",3,"MEDIUM",6,"HIGH",9)</f>
        <v>54</v>
      </c>
      <c r="G5" s="23" t="str">
        <f t="shared" ref="G5:G10" si="1">INDEX($E$16:$E$19,MATCH(F5,$D$16:$D$19,1))</f>
        <v>High</v>
      </c>
      <c r="H5" s="24">
        <v>0.6</v>
      </c>
      <c r="I5" s="24">
        <v>0.4</v>
      </c>
      <c r="J5" s="22">
        <f t="shared" ref="J5:J10" si="2">$F5*(1-H5)*(1-I5)</f>
        <v>12.96</v>
      </c>
      <c r="K5" s="24">
        <v>0.6</v>
      </c>
      <c r="L5" s="24">
        <v>0.4</v>
      </c>
      <c r="M5" s="22">
        <f t="shared" ref="M5:M10" si="3">$F5*(1-K5)*(1-L5)</f>
        <v>12.96</v>
      </c>
      <c r="N5" s="24">
        <v>0.7</v>
      </c>
      <c r="O5" s="24">
        <v>0.5</v>
      </c>
      <c r="P5" s="22">
        <f t="shared" ref="P5:P10" si="4">$F5*(1-N5)*(1-O5)</f>
        <v>8.1000000000000014</v>
      </c>
      <c r="Q5" s="24">
        <v>0.5</v>
      </c>
      <c r="R5" s="24">
        <v>0.6</v>
      </c>
      <c r="S5" s="22">
        <f t="shared" ref="S5:S10" si="5">$F5*(1-Q5)*(1-R5)</f>
        <v>10.8</v>
      </c>
      <c r="T5" s="24">
        <v>0.4</v>
      </c>
      <c r="U5" s="24">
        <v>0.5</v>
      </c>
      <c r="V5" s="22">
        <f t="shared" ref="V5:V10" si="6">$F5*(1-T5)*(1-U5)</f>
        <v>16.2</v>
      </c>
      <c r="W5" s="24">
        <v>0.5</v>
      </c>
      <c r="X5" s="24">
        <v>0.7</v>
      </c>
      <c r="Y5" s="22">
        <f t="shared" ref="Y5:Y10" si="7">$F5*(1-W5)*(1-X5)</f>
        <v>8.1000000000000014</v>
      </c>
      <c r="Z5" s="22">
        <f t="shared" ref="Z5:Z10" si="8">MIN(J5,M5,P5,S5,V5,Y5)</f>
        <v>8.1000000000000014</v>
      </c>
      <c r="AA5" s="23" t="str">
        <f t="shared" ref="AA5:AA10" si="9">IF(J5=Z5,"Data Encryption",IF(M5=Z5,"Cybersecurity Training for Employees",IF(P5=Z5,"Access Control List",IF(S5=Z5,"Compliance Team &amp; Framework",IF(V5=Z5,"Web Application Firewall","Third-Party Security Audits")))))</f>
        <v>Access Control List</v>
      </c>
      <c r="AB5" s="25">
        <f t="shared" ref="AB5:AB10" si="10">(F5-Z5)/F5</f>
        <v>0.85</v>
      </c>
    </row>
    <row r="6" spans="1:28" ht="39.75" customHeight="1">
      <c r="A6" s="26" t="s">
        <v>41</v>
      </c>
      <c r="B6" s="27" t="s">
        <v>42</v>
      </c>
      <c r="C6" s="26" t="s">
        <v>43</v>
      </c>
      <c r="D6" s="26" t="s">
        <v>40</v>
      </c>
      <c r="E6" s="26" t="s">
        <v>39</v>
      </c>
      <c r="F6" s="28">
        <f t="shared" si="0"/>
        <v>54</v>
      </c>
      <c r="G6" s="29" t="str">
        <f t="shared" si="1"/>
        <v>High</v>
      </c>
      <c r="H6" s="30">
        <v>0.1</v>
      </c>
      <c r="I6" s="30">
        <v>0.2</v>
      </c>
      <c r="J6" s="28">
        <f t="shared" si="2"/>
        <v>38.880000000000003</v>
      </c>
      <c r="K6" s="30">
        <v>0.75</v>
      </c>
      <c r="L6" s="30">
        <v>0.5</v>
      </c>
      <c r="M6" s="28">
        <f t="shared" si="3"/>
        <v>6.75</v>
      </c>
      <c r="N6" s="30">
        <v>0.3</v>
      </c>
      <c r="O6" s="30">
        <v>0.2</v>
      </c>
      <c r="P6" s="28">
        <f t="shared" si="4"/>
        <v>30.24</v>
      </c>
      <c r="Q6" s="30">
        <v>0.4</v>
      </c>
      <c r="R6" s="30">
        <v>0.35</v>
      </c>
      <c r="S6" s="28">
        <f t="shared" si="5"/>
        <v>21.06</v>
      </c>
      <c r="T6" s="30">
        <v>0.25</v>
      </c>
      <c r="U6" s="30">
        <v>0.2</v>
      </c>
      <c r="V6" s="28">
        <f t="shared" si="6"/>
        <v>32.4</v>
      </c>
      <c r="W6" s="30">
        <v>0.4</v>
      </c>
      <c r="X6" s="30">
        <v>0.35</v>
      </c>
      <c r="Y6" s="28">
        <f t="shared" si="7"/>
        <v>21.06</v>
      </c>
      <c r="Z6" s="28">
        <f t="shared" si="8"/>
        <v>6.75</v>
      </c>
      <c r="AA6" s="29" t="str">
        <f t="shared" si="9"/>
        <v>Cybersecurity Training for Employees</v>
      </c>
      <c r="AB6" s="31">
        <f t="shared" si="10"/>
        <v>0.875</v>
      </c>
    </row>
    <row r="7" spans="1:28" ht="39.75" customHeight="1">
      <c r="A7" s="20" t="s">
        <v>44</v>
      </c>
      <c r="B7" s="21" t="s">
        <v>45</v>
      </c>
      <c r="C7" s="20" t="s">
        <v>46</v>
      </c>
      <c r="D7" s="20" t="s">
        <v>47</v>
      </c>
      <c r="E7" s="20" t="s">
        <v>39</v>
      </c>
      <c r="F7" s="22">
        <f t="shared" si="0"/>
        <v>18</v>
      </c>
      <c r="G7" s="23" t="str">
        <f t="shared" si="1"/>
        <v>Medium</v>
      </c>
      <c r="H7" s="24">
        <v>0.3</v>
      </c>
      <c r="I7" s="24">
        <v>0.35</v>
      </c>
      <c r="J7" s="22">
        <f t="shared" si="2"/>
        <v>8.19</v>
      </c>
      <c r="K7" s="24">
        <v>0.5</v>
      </c>
      <c r="L7" s="24">
        <v>0.3</v>
      </c>
      <c r="M7" s="22">
        <f t="shared" si="3"/>
        <v>6.3</v>
      </c>
      <c r="N7" s="24">
        <v>0.8</v>
      </c>
      <c r="O7" s="24">
        <v>0.6</v>
      </c>
      <c r="P7" s="22">
        <f t="shared" si="4"/>
        <v>1.4399999999999997</v>
      </c>
      <c r="Q7" s="24">
        <v>0.4</v>
      </c>
      <c r="R7" s="24">
        <v>0.5</v>
      </c>
      <c r="S7" s="22">
        <f t="shared" si="5"/>
        <v>5.3999999999999995</v>
      </c>
      <c r="T7" s="24">
        <v>0.3</v>
      </c>
      <c r="U7" s="24">
        <v>0.3</v>
      </c>
      <c r="V7" s="22">
        <f t="shared" si="6"/>
        <v>8.8199999999999985</v>
      </c>
      <c r="W7" s="24">
        <v>0.5</v>
      </c>
      <c r="X7" s="24">
        <v>0.6</v>
      </c>
      <c r="Y7" s="22">
        <f t="shared" si="7"/>
        <v>3.6</v>
      </c>
      <c r="Z7" s="22">
        <f t="shared" si="8"/>
        <v>1.4399999999999997</v>
      </c>
      <c r="AA7" s="23" t="str">
        <f t="shared" si="9"/>
        <v>Access Control List</v>
      </c>
      <c r="AB7" s="25">
        <f t="shared" si="10"/>
        <v>0.91999999999999993</v>
      </c>
    </row>
    <row r="8" spans="1:28" ht="39.75" customHeight="1">
      <c r="A8" s="26" t="s">
        <v>48</v>
      </c>
      <c r="B8" s="27" t="s">
        <v>49</v>
      </c>
      <c r="C8" s="26" t="s">
        <v>43</v>
      </c>
      <c r="D8" s="26" t="s">
        <v>47</v>
      </c>
      <c r="E8" s="26" t="s">
        <v>39</v>
      </c>
      <c r="F8" s="28">
        <f t="shared" si="0"/>
        <v>18</v>
      </c>
      <c r="G8" s="29" t="str">
        <f t="shared" si="1"/>
        <v>Medium</v>
      </c>
      <c r="H8" s="30">
        <v>0.5</v>
      </c>
      <c r="I8" s="30">
        <v>0.6</v>
      </c>
      <c r="J8" s="28">
        <f t="shared" si="2"/>
        <v>3.6</v>
      </c>
      <c r="K8" s="30">
        <v>0.5</v>
      </c>
      <c r="L8" s="30">
        <v>0.3</v>
      </c>
      <c r="M8" s="28">
        <f t="shared" si="3"/>
        <v>6.3</v>
      </c>
      <c r="N8" s="30">
        <v>0.4</v>
      </c>
      <c r="O8" s="30">
        <v>0.35</v>
      </c>
      <c r="P8" s="28">
        <f t="shared" si="4"/>
        <v>7.02</v>
      </c>
      <c r="Q8" s="30">
        <v>0.85</v>
      </c>
      <c r="R8" s="30">
        <v>0.7</v>
      </c>
      <c r="S8" s="28">
        <f t="shared" si="5"/>
        <v>0.81000000000000016</v>
      </c>
      <c r="T8" s="30">
        <v>0.4</v>
      </c>
      <c r="U8" s="30">
        <v>0.4</v>
      </c>
      <c r="V8" s="28">
        <f t="shared" si="6"/>
        <v>6.4799999999999995</v>
      </c>
      <c r="W8" s="30">
        <v>0.8</v>
      </c>
      <c r="X8" s="30">
        <v>0.75</v>
      </c>
      <c r="Y8" s="28">
        <f t="shared" si="7"/>
        <v>0.8999999999999998</v>
      </c>
      <c r="Z8" s="28">
        <f t="shared" si="8"/>
        <v>0.81000000000000016</v>
      </c>
      <c r="AA8" s="29" t="str">
        <f t="shared" si="9"/>
        <v>Compliance Team &amp; Framework</v>
      </c>
      <c r="AB8" s="31">
        <f t="shared" si="10"/>
        <v>0.95500000000000007</v>
      </c>
    </row>
    <row r="9" spans="1:28" ht="39.75" customHeight="1">
      <c r="A9" s="20" t="s">
        <v>50</v>
      </c>
      <c r="B9" s="21" t="s">
        <v>51</v>
      </c>
      <c r="C9" s="20" t="s">
        <v>38</v>
      </c>
      <c r="D9" s="20" t="s">
        <v>47</v>
      </c>
      <c r="E9" s="20" t="s">
        <v>47</v>
      </c>
      <c r="F9" s="22">
        <f t="shared" si="0"/>
        <v>9</v>
      </c>
      <c r="G9" s="23" t="str">
        <f t="shared" si="1"/>
        <v>Low</v>
      </c>
      <c r="H9" s="24">
        <v>0.3</v>
      </c>
      <c r="I9" s="24">
        <v>0.4</v>
      </c>
      <c r="J9" s="22">
        <f t="shared" si="2"/>
        <v>3.78</v>
      </c>
      <c r="K9" s="24">
        <v>0.3</v>
      </c>
      <c r="L9" s="24">
        <v>0.2</v>
      </c>
      <c r="M9" s="22">
        <f t="shared" si="3"/>
        <v>5.04</v>
      </c>
      <c r="N9" s="24">
        <v>0.5</v>
      </c>
      <c r="O9" s="24">
        <v>0.4</v>
      </c>
      <c r="P9" s="22">
        <f t="shared" si="4"/>
        <v>2.6999999999999997</v>
      </c>
      <c r="Q9" s="24">
        <v>0.4</v>
      </c>
      <c r="R9" s="24">
        <v>0.45</v>
      </c>
      <c r="S9" s="22">
        <f t="shared" si="5"/>
        <v>2.9699999999999998</v>
      </c>
      <c r="T9" s="24">
        <v>0.85</v>
      </c>
      <c r="U9" s="24">
        <v>0.7</v>
      </c>
      <c r="V9" s="22">
        <f t="shared" si="6"/>
        <v>0.40500000000000008</v>
      </c>
      <c r="W9" s="24">
        <v>0.65</v>
      </c>
      <c r="X9" s="24">
        <v>0.55000000000000004</v>
      </c>
      <c r="Y9" s="22">
        <f t="shared" si="7"/>
        <v>1.4174999999999998</v>
      </c>
      <c r="Z9" s="22">
        <f t="shared" si="8"/>
        <v>0.40500000000000008</v>
      </c>
      <c r="AA9" s="23" t="str">
        <f t="shared" si="9"/>
        <v>Web Application Firewall</v>
      </c>
      <c r="AB9" s="25">
        <f t="shared" si="10"/>
        <v>0.95500000000000007</v>
      </c>
    </row>
    <row r="10" spans="1:28" ht="39.75" customHeight="1">
      <c r="A10" s="26" t="s">
        <v>52</v>
      </c>
      <c r="B10" s="27" t="s">
        <v>53</v>
      </c>
      <c r="C10" s="26" t="s">
        <v>54</v>
      </c>
      <c r="D10" s="26" t="s">
        <v>39</v>
      </c>
      <c r="E10" s="26" t="s">
        <v>47</v>
      </c>
      <c r="F10" s="28">
        <f t="shared" si="0"/>
        <v>18</v>
      </c>
      <c r="G10" s="29" t="str">
        <f t="shared" si="1"/>
        <v>Medium</v>
      </c>
      <c r="H10" s="30">
        <v>0.5</v>
      </c>
      <c r="I10" s="30">
        <v>0.55000000000000004</v>
      </c>
      <c r="J10" s="28">
        <f t="shared" si="2"/>
        <v>4.05</v>
      </c>
      <c r="K10" s="30">
        <v>0.4</v>
      </c>
      <c r="L10" s="30">
        <v>0.25</v>
      </c>
      <c r="M10" s="28">
        <f t="shared" si="3"/>
        <v>8.1</v>
      </c>
      <c r="N10" s="30">
        <v>0.65</v>
      </c>
      <c r="O10" s="30">
        <v>0.5</v>
      </c>
      <c r="P10" s="28">
        <f t="shared" si="4"/>
        <v>3.15</v>
      </c>
      <c r="Q10" s="30">
        <v>0.55000000000000004</v>
      </c>
      <c r="R10" s="30">
        <v>0.6</v>
      </c>
      <c r="S10" s="28">
        <f t="shared" si="5"/>
        <v>3.24</v>
      </c>
      <c r="T10" s="30">
        <v>0.5</v>
      </c>
      <c r="U10" s="30">
        <v>0.4</v>
      </c>
      <c r="V10" s="28">
        <f t="shared" si="6"/>
        <v>5.3999999999999995</v>
      </c>
      <c r="W10" s="30">
        <v>0.85</v>
      </c>
      <c r="X10" s="30">
        <v>0.7</v>
      </c>
      <c r="Y10" s="28">
        <f t="shared" si="7"/>
        <v>0.81000000000000016</v>
      </c>
      <c r="Z10" s="28">
        <f t="shared" si="8"/>
        <v>0.81000000000000016</v>
      </c>
      <c r="AA10" s="29" t="str">
        <f t="shared" si="9"/>
        <v>Third-Party Security Audits</v>
      </c>
      <c r="AB10" s="31">
        <f t="shared" si="10"/>
        <v>0.95500000000000007</v>
      </c>
    </row>
    <row r="11" spans="1:28">
      <c r="A11" s="43" t="s">
        <v>55</v>
      </c>
      <c r="B11" s="40"/>
      <c r="C11" s="40"/>
      <c r="D11" s="40"/>
      <c r="E11" s="41"/>
      <c r="F11" s="32">
        <f>SUM(F5:F10)</f>
        <v>171</v>
      </c>
      <c r="G11" s="33"/>
      <c r="H11" s="33"/>
      <c r="I11" s="33"/>
      <c r="J11" s="32">
        <f>SUM(J5:J10)</f>
        <v>71.459999999999994</v>
      </c>
      <c r="K11" s="33"/>
      <c r="L11" s="33"/>
      <c r="M11" s="32">
        <f>SUM(M5:M10)</f>
        <v>45.45</v>
      </c>
      <c r="N11" s="33"/>
      <c r="O11" s="33"/>
      <c r="P11" s="32">
        <f>SUM(P5:P10)</f>
        <v>52.65</v>
      </c>
      <c r="Q11" s="33"/>
      <c r="R11" s="33"/>
      <c r="S11" s="32">
        <f>SUM(S5:S10)</f>
        <v>44.28</v>
      </c>
      <c r="T11" s="33"/>
      <c r="U11" s="33"/>
      <c r="V11" s="32">
        <f>SUM(V5:V10)</f>
        <v>69.704999999999998</v>
      </c>
      <c r="W11" s="33"/>
      <c r="X11" s="33"/>
      <c r="Y11" s="32">
        <f>SUM(Y5:Y10)</f>
        <v>35.887499999999996</v>
      </c>
      <c r="Z11" s="32">
        <f>SUM(Z5:Z10)</f>
        <v>18.315000000000001</v>
      </c>
      <c r="AA11" s="33"/>
      <c r="AB11" s="34">
        <f>AVERAGE(AB5:AB10)</f>
        <v>0.91833333333333333</v>
      </c>
    </row>
    <row r="14" spans="1:28">
      <c r="A14" s="1" t="s">
        <v>56</v>
      </c>
      <c r="D14" s="1" t="s">
        <v>57</v>
      </c>
    </row>
    <row r="15" spans="1:28">
      <c r="A15" s="3" t="s">
        <v>58</v>
      </c>
      <c r="B15" s="3" t="s">
        <v>59</v>
      </c>
      <c r="D15" s="3" t="s">
        <v>60</v>
      </c>
      <c r="E15" s="3" t="s">
        <v>61</v>
      </c>
    </row>
    <row r="16" spans="1:28">
      <c r="A16" t="s">
        <v>62</v>
      </c>
      <c r="B16">
        <v>0</v>
      </c>
      <c r="D16">
        <v>0</v>
      </c>
      <c r="E16" t="s">
        <v>63</v>
      </c>
    </row>
    <row r="17" spans="1:6">
      <c r="A17" t="s">
        <v>63</v>
      </c>
      <c r="B17">
        <v>3</v>
      </c>
      <c r="D17">
        <v>18</v>
      </c>
      <c r="E17" t="s">
        <v>64</v>
      </c>
    </row>
    <row r="18" spans="1:6">
      <c r="A18" t="s">
        <v>64</v>
      </c>
      <c r="B18">
        <v>6</v>
      </c>
      <c r="D18">
        <v>36</v>
      </c>
      <c r="E18" t="s">
        <v>65</v>
      </c>
    </row>
    <row r="19" spans="1:6">
      <c r="A19" t="s">
        <v>65</v>
      </c>
      <c r="B19">
        <v>9</v>
      </c>
      <c r="D19">
        <v>55</v>
      </c>
      <c r="E19" t="s">
        <v>66</v>
      </c>
    </row>
    <row r="22" spans="1:6" ht="45" customHeight="1">
      <c r="A22" s="35" t="s">
        <v>67</v>
      </c>
      <c r="B22" s="38"/>
      <c r="C22" s="38"/>
      <c r="D22" s="38"/>
      <c r="E22" s="38"/>
      <c r="F22" s="38"/>
    </row>
    <row r="49" spans="1:1">
      <c r="A49" s="4"/>
    </row>
  </sheetData>
  <mergeCells count="19">
    <mergeCell ref="AA3:AA4"/>
    <mergeCell ref="A1:AB1"/>
    <mergeCell ref="T3:V3"/>
    <mergeCell ref="AB3:AB4"/>
    <mergeCell ref="K3:M3"/>
    <mergeCell ref="Q3:S3"/>
    <mergeCell ref="C3:C4"/>
    <mergeCell ref="E3:E4"/>
    <mergeCell ref="N3:P3"/>
    <mergeCell ref="B3:B4"/>
    <mergeCell ref="W3:Y3"/>
    <mergeCell ref="F3:F4"/>
    <mergeCell ref="Z3:Z4"/>
    <mergeCell ref="A3:A4"/>
    <mergeCell ref="G3:G4"/>
    <mergeCell ref="D3:D4"/>
    <mergeCell ref="A22:F22"/>
    <mergeCell ref="H3:J3"/>
    <mergeCell ref="A11:E11"/>
  </mergeCells>
  <dataValidations count="1">
    <dataValidation type="list" sqref="D5:E15" xr:uid="{00000000-0002-0000-0200-000000000000}">
      <formula1>"LOW,MEDIUM,HIGH"</formula1>
      <formula2>0</formula2>
    </dataValidation>
  </dataValidation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
  <sheetViews>
    <sheetView showGridLines="0" tabSelected="1" topLeftCell="A34" zoomScale="90" workbookViewId="0">
      <selection activeCell="A50" sqref="A50"/>
    </sheetView>
  </sheetViews>
  <sheetFormatPr defaultRowHeight="14.45"/>
  <cols>
    <col min="1" max="1" width="30" customWidth="1"/>
    <col min="2" max="2" width="12" customWidth="1"/>
    <col min="3" max="5" width="22" customWidth="1"/>
  </cols>
  <sheetData>
    <row r="1" spans="1:11" ht="21">
      <c r="A1" s="44" t="s">
        <v>68</v>
      </c>
      <c r="B1" s="38"/>
      <c r="C1" s="38"/>
      <c r="D1" s="38"/>
      <c r="E1" s="38"/>
      <c r="F1" s="38"/>
      <c r="G1" s="38"/>
      <c r="H1" s="38"/>
      <c r="I1" s="38"/>
      <c r="J1" s="38"/>
      <c r="K1" s="38"/>
    </row>
    <row r="2" spans="1:11">
      <c r="A2" s="45" t="s">
        <v>69</v>
      </c>
      <c r="B2" s="38"/>
      <c r="C2" s="38"/>
      <c r="D2" s="38"/>
      <c r="E2" s="38"/>
      <c r="F2" s="38"/>
      <c r="G2" s="38"/>
      <c r="H2" s="38"/>
      <c r="I2" s="38"/>
      <c r="J2" s="38"/>
      <c r="K2" s="38"/>
    </row>
    <row r="4" spans="1:11" ht="15.6">
      <c r="A4" s="5" t="s">
        <v>70</v>
      </c>
    </row>
    <row r="27" spans="1:2" ht="15.6">
      <c r="A27" s="5" t="s">
        <v>71</v>
      </c>
    </row>
    <row r="28" spans="1:2" ht="28.9">
      <c r="A28" s="6" t="s">
        <v>72</v>
      </c>
      <c r="B28" s="6" t="s">
        <v>73</v>
      </c>
    </row>
    <row r="29" spans="1:2">
      <c r="A29" s="7" t="s">
        <v>29</v>
      </c>
      <c r="B29" s="8">
        <f>SUMPRODUCT(('Risk Assessment Tool'!$F$5:$F$10-'Risk Assessment Tool'!$Y$5:$Y$10)/'Risk Assessment Tool'!$F$5:$F$10)/6</f>
        <v>0.83458333333333334</v>
      </c>
    </row>
    <row r="30" spans="1:2">
      <c r="A30" s="7" t="s">
        <v>27</v>
      </c>
      <c r="B30" s="8">
        <f>SUMPRODUCT(('Risk Assessment Tool'!$F$5:$F$10-'Risk Assessment Tool'!$S$5:$S$10)/'Risk Assessment Tool'!$F$5:$F$10)/6</f>
        <v>0.75916666666666677</v>
      </c>
    </row>
    <row r="31" spans="1:2">
      <c r="A31" s="7" t="s">
        <v>26</v>
      </c>
      <c r="B31" s="8">
        <f>SUMPRODUCT(('Risk Assessment Tool'!$F$5:$F$10-'Risk Assessment Tool'!$P$5:$P$10)/'Risk Assessment Tool'!$F$5:$F$10)/6</f>
        <v>0.72416666666666663</v>
      </c>
    </row>
    <row r="32" spans="1:2">
      <c r="A32" s="7" t="s">
        <v>25</v>
      </c>
      <c r="B32" s="8">
        <f>SUMPRODUCT(('Risk Assessment Tool'!$F$5:$F$10-'Risk Assessment Tool'!$M$5:$M$10)/'Risk Assessment Tool'!$F$5:$F$10)/6</f>
        <v>0.65416666666666667</v>
      </c>
    </row>
    <row r="33" spans="1:5">
      <c r="A33" s="7" t="s">
        <v>28</v>
      </c>
      <c r="B33" s="8">
        <f>SUMPRODUCT(('Risk Assessment Tool'!$F$5:$F$10-'Risk Assessment Tool'!$V$5:$V$10)/'Risk Assessment Tool'!$F$5:$F$10)/6</f>
        <v>0.65083333333333349</v>
      </c>
    </row>
    <row r="34" spans="1:5">
      <c r="A34" s="7" t="s">
        <v>24</v>
      </c>
      <c r="B34" s="8">
        <f>SUMPRODUCT(('Risk Assessment Tool'!$F$5:$F$10-'Risk Assessment Tool'!$J$5:$J$10)/'Risk Assessment Tool'!$F$5:$F$10)/6</f>
        <v>0.62333333333333329</v>
      </c>
    </row>
    <row r="37" spans="1:5" ht="15.6">
      <c r="A37" s="5" t="s">
        <v>74</v>
      </c>
    </row>
    <row r="38" spans="1:5">
      <c r="C38" s="9" t="s">
        <v>75</v>
      </c>
    </row>
    <row r="39" spans="1:5" ht="42" customHeight="1">
      <c r="B39" s="9" t="s">
        <v>76</v>
      </c>
      <c r="C39" s="6" t="s">
        <v>47</v>
      </c>
      <c r="D39" s="6" t="s">
        <v>39</v>
      </c>
      <c r="E39" s="6" t="s">
        <v>40</v>
      </c>
    </row>
    <row r="40" spans="1:5" ht="42" customHeight="1">
      <c r="B40" s="6" t="s">
        <v>40</v>
      </c>
      <c r="C40" s="10" t="str">
        <f>IF(AND('Risk Assessment Tool'!$D$5="LOW",'Risk Assessment Tool'!$E$5="HIGH"),'Risk Assessment Tool'!$A$5&amp;CHAR(10),"")&amp;IF(AND('Risk Assessment Tool'!$D$6="LOW",'Risk Assessment Tool'!$E$6="HIGH"),'Risk Assessment Tool'!$A$6&amp;CHAR(10),"")&amp;IF(AND('Risk Assessment Tool'!$D$7="LOW",'Risk Assessment Tool'!$E$7="HIGH"),'Risk Assessment Tool'!$A$7&amp;CHAR(10),"")&amp;IF(AND('Risk Assessment Tool'!$D$8="LOW",'Risk Assessment Tool'!$E$8="HIGH"),'Risk Assessment Tool'!$A$8&amp;CHAR(10),"")&amp;IF(AND('Risk Assessment Tool'!$D$9="LOW",'Risk Assessment Tool'!$E$9="HIGH"),'Risk Assessment Tool'!$A$9&amp;CHAR(10),"")&amp;IF(AND('Risk Assessment Tool'!$D$10="LOW",'Risk Assessment Tool'!$E$10="HIGH"),'Risk Assessment Tool'!$A$10&amp;CHAR(10),"")</f>
        <v/>
      </c>
      <c r="D40" s="11" t="str">
        <f>IF(AND('Risk Assessment Tool'!$D$5="MEDIUM",'Risk Assessment Tool'!$E$5="HIGH"),'Risk Assessment Tool'!$A$5&amp;CHAR(10),"")&amp;IF(AND('Risk Assessment Tool'!$D$6="MEDIUM",'Risk Assessment Tool'!$E$6="HIGH"),'Risk Assessment Tool'!$A$6&amp;CHAR(10),"")&amp;IF(AND('Risk Assessment Tool'!$D$7="MEDIUM",'Risk Assessment Tool'!$E$7="HIGH"),'Risk Assessment Tool'!$A$7&amp;CHAR(10),"")&amp;IF(AND('Risk Assessment Tool'!$D$8="MEDIUM",'Risk Assessment Tool'!$E$8="HIGH"),'Risk Assessment Tool'!$A$8&amp;CHAR(10),"")&amp;IF(AND('Risk Assessment Tool'!$D$9="MEDIUM",'Risk Assessment Tool'!$E$9="HIGH"),'Risk Assessment Tool'!$A$9&amp;CHAR(10),"")&amp;IF(AND('Risk Assessment Tool'!$D$10="MEDIUM",'Risk Assessment Tool'!$E$10="HIGH"),'Risk Assessment Tool'!$A$10&amp;CHAR(10),"")</f>
        <v xml:space="preserve">Data Breach
</v>
      </c>
      <c r="E40" s="12" t="str">
        <f>IF(AND('Risk Assessment Tool'!$D$5="HIGH",'Risk Assessment Tool'!$E$5="HIGH"),'Risk Assessment Tool'!$A$5&amp;CHAR(10),"")&amp;IF(AND('Risk Assessment Tool'!$D$6="HIGH",'Risk Assessment Tool'!$E$6="HIGH"),'Risk Assessment Tool'!$A$6&amp;CHAR(10),"")&amp;IF(AND('Risk Assessment Tool'!$D$7="HIGH",'Risk Assessment Tool'!$E$7="HIGH"),'Risk Assessment Tool'!$A$7&amp;CHAR(10),"")&amp;IF(AND('Risk Assessment Tool'!$D$8="HIGH",'Risk Assessment Tool'!$E$8="HIGH"),'Risk Assessment Tool'!$A$8&amp;CHAR(10),"")&amp;IF(AND('Risk Assessment Tool'!$D$9="HIGH",'Risk Assessment Tool'!$E$9="HIGH"),'Risk Assessment Tool'!$A$9&amp;CHAR(10),"")&amp;IF(AND('Risk Assessment Tool'!$D$10="HIGH",'Risk Assessment Tool'!$E$10="HIGH"),'Risk Assessment Tool'!$A$10&amp;CHAR(10),"")</f>
        <v/>
      </c>
    </row>
    <row r="41" spans="1:5" ht="42" customHeight="1">
      <c r="B41" s="6" t="s">
        <v>39</v>
      </c>
      <c r="C41" s="10" t="str">
        <f>IF(AND('Risk Assessment Tool'!$D$5="LOW",'Risk Assessment Tool'!$E$5="MEDIUM"),'Risk Assessment Tool'!$A$5&amp;CHAR(10),"")&amp;IF(AND('Risk Assessment Tool'!$D$6="LOW",'Risk Assessment Tool'!$E$6="MEDIUM"),'Risk Assessment Tool'!$A$6&amp;CHAR(10),"")&amp;IF(AND('Risk Assessment Tool'!$D$7="LOW",'Risk Assessment Tool'!$E$7="MEDIUM"),'Risk Assessment Tool'!$A$7&amp;CHAR(10),"")&amp;IF(AND('Risk Assessment Tool'!$D$8="LOW",'Risk Assessment Tool'!$E$8="MEDIUM"),'Risk Assessment Tool'!$A$8&amp;CHAR(10),"")&amp;IF(AND('Risk Assessment Tool'!$D$9="LOW",'Risk Assessment Tool'!$E$9="MEDIUM"),'Risk Assessment Tool'!$A$9&amp;CHAR(10),"")&amp;IF(AND('Risk Assessment Tool'!$D$10="LOW",'Risk Assessment Tool'!$E$10="MEDIUM"),'Risk Assessment Tool'!$A$10&amp;CHAR(10),"")</f>
        <v xml:space="preserve">Insider Threat
Compliance Violations
</v>
      </c>
      <c r="D41" s="11" t="str">
        <f>IF(AND('Risk Assessment Tool'!$D$5="MEDIUM",'Risk Assessment Tool'!$E$5="MEDIUM"),'Risk Assessment Tool'!$A$5&amp;CHAR(10),"")&amp;IF(AND('Risk Assessment Tool'!$D$6="MEDIUM",'Risk Assessment Tool'!$E$6="MEDIUM"),'Risk Assessment Tool'!$A$6&amp;CHAR(10),"")&amp;IF(AND('Risk Assessment Tool'!$D$7="MEDIUM",'Risk Assessment Tool'!$E$7="MEDIUM"),'Risk Assessment Tool'!$A$7&amp;CHAR(10),"")&amp;IF(AND('Risk Assessment Tool'!$D$8="MEDIUM",'Risk Assessment Tool'!$E$8="MEDIUM"),'Risk Assessment Tool'!$A$8&amp;CHAR(10),"")&amp;IF(AND('Risk Assessment Tool'!$D$9="MEDIUM",'Risk Assessment Tool'!$E$9="MEDIUM"),'Risk Assessment Tool'!$A$9&amp;CHAR(10),"")&amp;IF(AND('Risk Assessment Tool'!$D$10="MEDIUM",'Risk Assessment Tool'!$E$10="MEDIUM"),'Risk Assessment Tool'!$A$10&amp;CHAR(10),"")</f>
        <v/>
      </c>
      <c r="E41" s="11" t="str">
        <f>IF(AND('Risk Assessment Tool'!$D$5="HIGH",'Risk Assessment Tool'!$E$5="MEDIUM"),'Risk Assessment Tool'!$A$5&amp;CHAR(10),"")&amp;IF(AND('Risk Assessment Tool'!$D$6="HIGH",'Risk Assessment Tool'!$E$6="MEDIUM"),'Risk Assessment Tool'!$A$6&amp;CHAR(10),"")&amp;IF(AND('Risk Assessment Tool'!$D$7="HIGH",'Risk Assessment Tool'!$E$7="MEDIUM"),'Risk Assessment Tool'!$A$7&amp;CHAR(10),"")&amp;IF(AND('Risk Assessment Tool'!$D$8="HIGH",'Risk Assessment Tool'!$E$8="MEDIUM"),'Risk Assessment Tool'!$A$8&amp;CHAR(10),"")&amp;IF(AND('Risk Assessment Tool'!$D$9="HIGH",'Risk Assessment Tool'!$E$9="MEDIUM"),'Risk Assessment Tool'!$A$9&amp;CHAR(10),"")&amp;IF(AND('Risk Assessment Tool'!$D$10="HIGH",'Risk Assessment Tool'!$E$10="MEDIUM"),'Risk Assessment Tool'!$A$10&amp;CHAR(10),"")</f>
        <v xml:space="preserve">Phishing
</v>
      </c>
    </row>
    <row r="42" spans="1:5" ht="42" customHeight="1">
      <c r="B42" s="6" t="s">
        <v>47</v>
      </c>
      <c r="C42" s="13" t="str">
        <f>IF(AND('Risk Assessment Tool'!$D$5="LOW",'Risk Assessment Tool'!$E$5="LOW"),'Risk Assessment Tool'!$A$5&amp;CHAR(10),"")&amp;IF(AND('Risk Assessment Tool'!$D$6="LOW",'Risk Assessment Tool'!$E$6="LOW"),'Risk Assessment Tool'!$A$6&amp;CHAR(10),"")&amp;IF(AND('Risk Assessment Tool'!$D$7="LOW",'Risk Assessment Tool'!$E$7="LOW"),'Risk Assessment Tool'!$A$7&amp;CHAR(10),"")&amp;IF(AND('Risk Assessment Tool'!$D$8="LOW",'Risk Assessment Tool'!$E$8="LOW"),'Risk Assessment Tool'!$A$8&amp;CHAR(10),"")&amp;IF(AND('Risk Assessment Tool'!$D$9="LOW",'Risk Assessment Tool'!$E$9="LOW"),'Risk Assessment Tool'!$A$9&amp;CHAR(10),"")&amp;IF(AND('Risk Assessment Tool'!$D$10="LOW",'Risk Assessment Tool'!$E$10="LOW"),'Risk Assessment Tool'!$A$10&amp;CHAR(10),"")</f>
        <v xml:space="preserve">Web Application Attacks
</v>
      </c>
      <c r="D42" s="10" t="str">
        <f>IF(AND('Risk Assessment Tool'!$D$5="MEDIUM",'Risk Assessment Tool'!$E$5="LOW"),'Risk Assessment Tool'!$A$5&amp;CHAR(10),"")&amp;IF(AND('Risk Assessment Tool'!$D$6="MEDIUM",'Risk Assessment Tool'!$E$6="LOW"),'Risk Assessment Tool'!$A$6&amp;CHAR(10),"")&amp;IF(AND('Risk Assessment Tool'!$D$7="MEDIUM",'Risk Assessment Tool'!$E$7="LOW"),'Risk Assessment Tool'!$A$7&amp;CHAR(10),"")&amp;IF(AND('Risk Assessment Tool'!$D$8="MEDIUM",'Risk Assessment Tool'!$E$8="LOW"),'Risk Assessment Tool'!$A$8&amp;CHAR(10),"")&amp;IF(AND('Risk Assessment Tool'!$D$9="MEDIUM",'Risk Assessment Tool'!$E$9="LOW"),'Risk Assessment Tool'!$A$9&amp;CHAR(10),"")&amp;IF(AND('Risk Assessment Tool'!$D$10="MEDIUM",'Risk Assessment Tool'!$E$10="LOW"),'Risk Assessment Tool'!$A$10&amp;CHAR(10),"")</f>
        <v xml:space="preserve">Third Party Cloud Risks
</v>
      </c>
      <c r="E42" s="10" t="str">
        <f>IF(AND('Risk Assessment Tool'!$D$5="HIGH",'Risk Assessment Tool'!$E$5="LOW"),'Risk Assessment Tool'!$A$5&amp;CHAR(10),"")&amp;IF(AND('Risk Assessment Tool'!$D$6="HIGH",'Risk Assessment Tool'!$E$6="LOW"),'Risk Assessment Tool'!$A$6&amp;CHAR(10),"")&amp;IF(AND('Risk Assessment Tool'!$D$7="HIGH",'Risk Assessment Tool'!$E$7="LOW"),'Risk Assessment Tool'!$A$7&amp;CHAR(10),"")&amp;IF(AND('Risk Assessment Tool'!$D$8="HIGH",'Risk Assessment Tool'!$E$8="LOW"),'Risk Assessment Tool'!$A$8&amp;CHAR(10),"")&amp;IF(AND('Risk Assessment Tool'!$D$9="HIGH",'Risk Assessment Tool'!$E$9="LOW"),'Risk Assessment Tool'!$A$9&amp;CHAR(10),"")&amp;IF(AND('Risk Assessment Tool'!$D$10="HIGH",'Risk Assessment Tool'!$E$10="LOW"),'Risk Assessment Tool'!$A$10&amp;CHAR(10),"")</f>
        <v/>
      </c>
    </row>
    <row r="44" spans="1:5">
      <c r="A44" s="9" t="s">
        <v>77</v>
      </c>
      <c r="B44" s="14" t="s">
        <v>63</v>
      </c>
      <c r="C44" s="15" t="s">
        <v>64</v>
      </c>
      <c r="D44" s="16" t="s">
        <v>65</v>
      </c>
      <c r="E44" s="17" t="s">
        <v>66</v>
      </c>
    </row>
    <row r="46" spans="1:5">
      <c r="A46" s="18"/>
    </row>
  </sheetData>
  <mergeCells count="2">
    <mergeCell ref="A2:K2"/>
    <mergeCell ref="A1:K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2026-08-15T19:20:03Z</dcterms:created>
  <dcterms:modified xsi:type="dcterms:W3CDTF">2026-08-26T20:20:09Z</dcterms:modified>
  <cp:category/>
  <cp:contentStatus/>
</cp:coreProperties>
</file>